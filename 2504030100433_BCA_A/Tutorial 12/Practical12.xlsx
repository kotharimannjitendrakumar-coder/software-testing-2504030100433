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ummary" sheetId="2" r:id="rId5"/>
    <sheet state="visible" name="AI Prompt" sheetId="3" r:id="rId6"/>
    <sheet state="visible" name="AI vs Actual" sheetId="4" r:id="rId7"/>
    <sheet state="visible" name="Defect-prone Areas" sheetId="5" r:id="rId8"/>
  </sheets>
  <definedNames/>
  <calcPr/>
  <extLst>
    <ext uri="GoogleSheetsCustomDataVersion2">
      <go:sheetsCustomData xmlns:go="http://customooxmlschemas.google.com/" r:id="rId9" roundtripDataChecksum="ppi3AFdpjIJSrecUdt0ucg1LCRyFfXBjzI/11W+WkbI="/>
    </ext>
  </extLst>
</workbook>
</file>

<file path=xl/sharedStrings.xml><?xml version="1.0" encoding="utf-8"?>
<sst xmlns="http://schemas.openxmlformats.org/spreadsheetml/2006/main" count="137" uniqueCount="103">
  <si>
    <t>Test Execution Summary</t>
  </si>
  <si>
    <t>Compare AI-generated expectations with actual behaviour</t>
  </si>
  <si>
    <t>Prompt to give the AI tool (copy exactly)</t>
  </si>
  <si>
    <t>Tutorial 12 - AI-Assisted Software Testing  |  Website: Automation Exercise (Login page)  (https://automationexercise.com/login)</t>
  </si>
  <si>
    <t>Metric</t>
  </si>
  <si>
    <t>Tester: Kothari Mann Jitendrakumar  |   Enrollment No: 2504030100433</t>
  </si>
  <si>
    <t>Item</t>
  </si>
  <si>
    <t>TC ID</t>
  </si>
  <si>
    <t>What the AI expected (example)</t>
  </si>
  <si>
    <t>Value</t>
  </si>
  <si>
    <t>Test Scenario</t>
  </si>
  <si>
    <t>What actually happened (fill after running)</t>
  </si>
  <si>
    <t>Total Test Cases</t>
  </si>
  <si>
    <t>Test Case</t>
  </si>
  <si>
    <t>Match? (Yes/No)</t>
  </si>
  <si>
    <t>Student correction</t>
  </si>
  <si>
    <t>Preconditions</t>
  </si>
  <si>
    <t>Text</t>
  </si>
  <si>
    <t>TC02</t>
  </si>
  <si>
    <t>Test Steps</t>
  </si>
  <si>
    <t>Test Data</t>
  </si>
  <si>
    <t>Expected Result</t>
  </si>
  <si>
    <t>AI tool used</t>
  </si>
  <si>
    <t>Status (after execution)</t>
  </si>
  <si>
    <t>Message 'Invalid credentials'</t>
  </si>
  <si>
    <t>AI Generated / Student Modified</t>
  </si>
  <si>
    <t>[Write: ChatGPT / Gemini / Claude / Copilot]</t>
  </si>
  <si>
    <t>[Write what the site shows]</t>
  </si>
  <si>
    <t>[Yes / No]</t>
  </si>
  <si>
    <t>Use the site's exact text</t>
  </si>
  <si>
    <t>Prompt</t>
  </si>
  <si>
    <t>TC03</t>
  </si>
  <si>
    <t>TC01</t>
  </si>
  <si>
    <t>Message 'User not found'</t>
  </si>
  <si>
    <t>Analyze this software requirement: 'A registered user should be able to log in using a valid email and password. Invalid credentials must be rejected and an appropriate message displayed.' Generate positive and negative test cases with test data, expected results, regression scenarios and defect-prone areas, for https://automationexercise.com/login.</t>
  </si>
  <si>
    <t>TC04</t>
  </si>
  <si>
    <t>Page message 'Email is required'</t>
  </si>
  <si>
    <t>Date</t>
  </si>
  <si>
    <t>The browser, not the site, shows the message</t>
  </si>
  <si>
    <t>[DD/MM/YYYY]</t>
  </si>
  <si>
    <t>Positive</t>
  </si>
  <si>
    <t>TC05</t>
  </si>
  <si>
    <t>Page message 'Password is required'</t>
  </si>
  <si>
    <t>Verify login with valid email and password</t>
  </si>
  <si>
    <t>An account is registered (use the one from Tutorial 2)</t>
  </si>
  <si>
    <t>1. Open the login page
2. Enter registered email and password
3. Click Login</t>
  </si>
  <si>
    <t>Registered e-mail / password</t>
  </si>
  <si>
    <t>'Logged in as &lt;name&gt;' is displayed in the header</t>
  </si>
  <si>
    <t>Fail</t>
  </si>
  <si>
    <t>AI Generated</t>
  </si>
  <si>
    <t>Negative</t>
  </si>
  <si>
    <t>Verify login with a valid email and a wrong password</t>
  </si>
  <si>
    <t>An account is registered</t>
  </si>
  <si>
    <t>1. Open the login page
2. Enter registered email and a wrong password
3. Click Login</t>
  </si>
  <si>
    <t>Email: registered; Password: Wrong@123</t>
  </si>
  <si>
    <t>Passed</t>
  </si>
  <si>
    <t>Error 'Your email or password is incorrect!' is displayed</t>
  </si>
  <si>
    <t>Pass</t>
  </si>
  <si>
    <t>Student Modified</t>
  </si>
  <si>
    <t>Verify login with an unregistered email</t>
  </si>
  <si>
    <t>Login page is displayed</t>
  </si>
  <si>
    <t>1. Enter an unregistered email in a valid format
2. Enter any password
3. Click Login</t>
  </si>
  <si>
    <t>Email: wrong.user@example.com; Password: Test@1234</t>
  </si>
  <si>
    <t>Verify login with a blank email</t>
  </si>
  <si>
    <t>1. Leave the email empty
2. Enter a password
3. Click Login</t>
  </si>
  <si>
    <t>Failed</t>
  </si>
  <si>
    <t>Email: blank; Password: Test@1234</t>
  </si>
  <si>
    <t>Browser message 'Please fill out this field.' appears and the login is not submitted</t>
  </si>
  <si>
    <t>Verify login with a blank password</t>
  </si>
  <si>
    <t>1. Enter the email
2. Leave the password empty
3. Click Login</t>
  </si>
  <si>
    <t>Email: registered; Password: blank</t>
  </si>
  <si>
    <t>Blocked</t>
  </si>
  <si>
    <t>TC06</t>
  </si>
  <si>
    <t>Verify login with an invalid email format</t>
  </si>
  <si>
    <t>1. Enter an email without '@' (testuser.com)
2. Enter a password
3. Click Login</t>
  </si>
  <si>
    <t>Email: testuser.com; Password: Test@1234</t>
  </si>
  <si>
    <t>Browser asks for a valid email address and the login is not submitted</t>
  </si>
  <si>
    <t>Not Executed</t>
  </si>
  <si>
    <t>TC07</t>
  </si>
  <si>
    <t>Regression</t>
  </si>
  <si>
    <t>Verify logout after a successful login</t>
  </si>
  <si>
    <t>User can log in</t>
  </si>
  <si>
    <t>1. Log in with valid credentials
2. Click 'Logout'</t>
  </si>
  <si>
    <t>User returns to the login page</t>
  </si>
  <si>
    <t>Pass %</t>
  </si>
  <si>
    <t>Defect-prone areas of Login (ask the AI, then review)</t>
  </si>
  <si>
    <t>Area</t>
  </si>
  <si>
    <t>Why it is risky</t>
  </si>
  <si>
    <t>Test idea</t>
  </si>
  <si>
    <t>Input validation</t>
  </si>
  <si>
    <t>Blank, very long or special-character input</t>
  </si>
  <si>
    <t>Try blank and wrong-format values</t>
  </si>
  <si>
    <t>Authentication</t>
  </si>
  <si>
    <t>Wrong credentials must never log in</t>
  </si>
  <si>
    <t>Wrong password / unregistered email</t>
  </si>
  <si>
    <t>Error handling</t>
  </si>
  <si>
    <t>Messages must be clear and not reveal which field was wrong</t>
  </si>
  <si>
    <t>Compare the message for wrong email vs wrong password</t>
  </si>
  <si>
    <t>Session management</t>
  </si>
  <si>
    <t>User must really be logged out after Logout</t>
  </si>
  <si>
    <t>Press Back after logout</t>
  </si>
  <si>
    <t>Existing login must keep working after changes</t>
  </si>
  <si>
    <t>Re-run TC01 after every 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</si>
</sst>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3.0"/>
      <color theme="1"/>
      <name val="Arial"/>
    </font>
    <font>
      <b/>
      <sz val="12.0"/>
      <color theme="1"/>
      <name val="Arial"/>
    </font>
    <font>
      <i/>
      <sz val="9.0"/>
      <color rgb="FFC00000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top" wrapText="1"/>
    </xf>
    <xf borderId="1" fillId="0" fontId="5" numFmtId="164" xfId="0" applyAlignment="1" applyBorder="1" applyFont="1" applyNumberFormat="1">
      <alignment horizontal="left" shrinkToFit="0" vertical="bottom" wrapText="0"/>
    </xf>
  </cellXfs>
  <cellStyles count="1">
    <cellStyle xfId="0" name="Normal" builtinId="0"/>
  </cellStyles>
  <dxfs count="2">
    <dxf>
      <font>
        <b/>
        <color rgb="FF1E7B34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36.0"/>
    <col customWidth="1" min="4" max="4" width="32.0"/>
    <col customWidth="1" min="5" max="5" width="54.0"/>
    <col customWidth="1" min="6" max="6" width="34.0"/>
    <col customWidth="1" min="7" max="7" width="44.0"/>
    <col customWidth="1" min="8" max="8" width="16.0"/>
    <col customWidth="1" min="9" max="9" width="24.0"/>
    <col customWidth="1" min="10" max="26" width="8.71"/>
  </cols>
  <sheetData>
    <row r="1">
      <c r="A1" s="2" t="s">
        <v>3</v>
      </c>
    </row>
    <row r="2">
      <c r="A2" s="3" t="s">
        <v>5</v>
      </c>
    </row>
    <row r="4" ht="30.0" customHeight="1">
      <c r="A4" s="4" t="s">
        <v>7</v>
      </c>
      <c r="B4" s="4" t="s">
        <v>10</v>
      </c>
      <c r="C4" s="4" t="s">
        <v>13</v>
      </c>
      <c r="D4" s="4" t="s">
        <v>16</v>
      </c>
      <c r="E4" s="4" t="s">
        <v>19</v>
      </c>
      <c r="F4" s="4" t="s">
        <v>20</v>
      </c>
      <c r="G4" s="4" t="s">
        <v>21</v>
      </c>
      <c r="H4" s="4" t="s">
        <v>23</v>
      </c>
      <c r="I4" s="4" t="s">
        <v>25</v>
      </c>
    </row>
    <row r="5" ht="44.25" customHeight="1">
      <c r="A5" s="7" t="s">
        <v>32</v>
      </c>
      <c r="B5" s="6" t="s">
        <v>40</v>
      </c>
      <c r="C5" s="6" t="s">
        <v>43</v>
      </c>
      <c r="D5" s="6" t="s">
        <v>44</v>
      </c>
      <c r="E5" s="6" t="s">
        <v>45</v>
      </c>
      <c r="F5" s="6" t="s">
        <v>46</v>
      </c>
      <c r="G5" s="6" t="s">
        <v>47</v>
      </c>
      <c r="H5" s="8" t="s">
        <v>48</v>
      </c>
      <c r="I5" s="9" t="s">
        <v>49</v>
      </c>
    </row>
    <row r="6" ht="44.25" customHeight="1">
      <c r="A6" s="7" t="s">
        <v>18</v>
      </c>
      <c r="B6" s="6" t="s">
        <v>50</v>
      </c>
      <c r="C6" s="6" t="s">
        <v>51</v>
      </c>
      <c r="D6" s="6" t="s">
        <v>52</v>
      </c>
      <c r="E6" s="6" t="s">
        <v>53</v>
      </c>
      <c r="F6" s="6" t="s">
        <v>54</v>
      </c>
      <c r="G6" s="6" t="s">
        <v>56</v>
      </c>
      <c r="H6" s="9" t="s">
        <v>57</v>
      </c>
      <c r="I6" s="9" t="s">
        <v>58</v>
      </c>
    </row>
    <row r="7" ht="44.25" customHeight="1">
      <c r="A7" s="7" t="s">
        <v>31</v>
      </c>
      <c r="B7" s="6" t="s">
        <v>50</v>
      </c>
      <c r="C7" s="6" t="s">
        <v>59</v>
      </c>
      <c r="D7" s="6" t="s">
        <v>60</v>
      </c>
      <c r="E7" s="6" t="s">
        <v>61</v>
      </c>
      <c r="F7" s="6" t="s">
        <v>62</v>
      </c>
      <c r="G7" s="6" t="s">
        <v>56</v>
      </c>
      <c r="H7" s="9" t="s">
        <v>57</v>
      </c>
      <c r="I7" s="9" t="s">
        <v>58</v>
      </c>
    </row>
    <row r="8" ht="44.25" customHeight="1">
      <c r="A8" s="7" t="s">
        <v>35</v>
      </c>
      <c r="B8" s="6" t="s">
        <v>50</v>
      </c>
      <c r="C8" s="6" t="s">
        <v>63</v>
      </c>
      <c r="D8" s="6" t="s">
        <v>60</v>
      </c>
      <c r="E8" s="6" t="s">
        <v>64</v>
      </c>
      <c r="F8" s="6" t="s">
        <v>66</v>
      </c>
      <c r="G8" s="6" t="s">
        <v>67</v>
      </c>
      <c r="H8" s="9" t="s">
        <v>57</v>
      </c>
      <c r="I8" s="9" t="s">
        <v>58</v>
      </c>
    </row>
    <row r="9" ht="44.25" customHeight="1">
      <c r="A9" s="7" t="s">
        <v>41</v>
      </c>
      <c r="B9" s="6" t="s">
        <v>50</v>
      </c>
      <c r="C9" s="6" t="s">
        <v>68</v>
      </c>
      <c r="D9" s="6" t="s">
        <v>60</v>
      </c>
      <c r="E9" s="6" t="s">
        <v>69</v>
      </c>
      <c r="F9" s="6" t="s">
        <v>70</v>
      </c>
      <c r="G9" s="6" t="s">
        <v>67</v>
      </c>
      <c r="H9" s="9" t="s">
        <v>57</v>
      </c>
      <c r="I9" s="9" t="s">
        <v>58</v>
      </c>
    </row>
    <row r="10" ht="44.25" customHeight="1">
      <c r="A10" s="7" t="s">
        <v>72</v>
      </c>
      <c r="B10" s="6" t="s">
        <v>50</v>
      </c>
      <c r="C10" s="6" t="s">
        <v>73</v>
      </c>
      <c r="D10" s="6" t="s">
        <v>60</v>
      </c>
      <c r="E10" s="6" t="s">
        <v>74</v>
      </c>
      <c r="F10" s="6" t="s">
        <v>75</v>
      </c>
      <c r="G10" s="6" t="s">
        <v>76</v>
      </c>
      <c r="H10" s="9" t="s">
        <v>57</v>
      </c>
      <c r="I10" s="9" t="s">
        <v>58</v>
      </c>
    </row>
    <row r="11" ht="30.75" customHeight="1">
      <c r="A11" s="7" t="s">
        <v>78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46</v>
      </c>
      <c r="G11" s="6" t="s">
        <v>83</v>
      </c>
      <c r="H11" s="8" t="s">
        <v>48</v>
      </c>
      <c r="I11" s="9" t="s">
        <v>49</v>
      </c>
    </row>
    <row r="13" ht="48.0" customHeight="1">
      <c r="A13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3:I13"/>
  </mergeCells>
  <conditionalFormatting sqref="H5:H11">
    <cfRule type="cellIs" dxfId="0" priority="1" operator="equal">
      <formula>"Pass"</formula>
    </cfRule>
  </conditionalFormatting>
  <conditionalFormatting sqref="H5:H11">
    <cfRule type="cellIs" dxfId="1" priority="2" operator="equal">
      <formula>"Fail"</formula>
    </cfRule>
  </conditionalFormatting>
  <dataValidations>
    <dataValidation type="list" allowBlank="1" sqref="H5:H11">
      <formula1>"Pass,Fail,Blocked,Not Run"</formula1>
    </dataValidation>
    <dataValidation type="list" allowBlank="1" sqref="I5:I11">
      <formula1>"AI Generated,Student Modified"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6.0"/>
    <col customWidth="1" min="3" max="26" width="8.71"/>
  </cols>
  <sheetData>
    <row r="1">
      <c r="A1" s="1" t="s">
        <v>0</v>
      </c>
    </row>
    <row r="3" ht="30.0" customHeight="1">
      <c r="A3" s="4" t="s">
        <v>4</v>
      </c>
      <c r="B3" s="4" t="s">
        <v>9</v>
      </c>
    </row>
    <row r="4">
      <c r="A4" s="5" t="s">
        <v>12</v>
      </c>
      <c r="B4" s="10">
        <f>COUNTA('Test Cases'!$A$5:$A$11)</f>
        <v>7</v>
      </c>
    </row>
    <row r="5">
      <c r="A5" s="5" t="s">
        <v>55</v>
      </c>
      <c r="B5" s="10">
        <f>COUNTIF('Test Cases'!$H$5:$H$11,"Pass")</f>
        <v>5</v>
      </c>
    </row>
    <row r="6">
      <c r="A6" s="5" t="s">
        <v>65</v>
      </c>
      <c r="B6" s="10">
        <f>COUNTIF('Test Cases'!$H$5:$H$11,"Fail")</f>
        <v>2</v>
      </c>
    </row>
    <row r="7">
      <c r="A7" s="5" t="s">
        <v>71</v>
      </c>
      <c r="B7" s="10">
        <f>COUNTIF('Test Cases'!$H$5:$H$11,"Blocked")</f>
        <v>0</v>
      </c>
    </row>
    <row r="8">
      <c r="A8" s="5" t="s">
        <v>77</v>
      </c>
      <c r="B8" s="10">
        <f>B4-B5-B6-B7</f>
        <v>0</v>
      </c>
    </row>
    <row r="9">
      <c r="A9" s="5" t="s">
        <v>84</v>
      </c>
      <c r="B9" s="12">
        <f>IFERROR(B5/(B5+B6),0)</f>
        <v>0.7142857143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20.0"/>
    <col customWidth="1" min="3" max="26" width="8.71"/>
  </cols>
  <sheetData>
    <row r="1">
      <c r="A1" s="1" t="s">
        <v>2</v>
      </c>
    </row>
    <row r="3" ht="30.0" customHeight="1">
      <c r="A3" s="4" t="s">
        <v>6</v>
      </c>
      <c r="B3" s="4" t="s">
        <v>17</v>
      </c>
    </row>
    <row r="4" ht="18.0" customHeight="1">
      <c r="A4" s="6" t="s">
        <v>22</v>
      </c>
      <c r="B4" s="6" t="s">
        <v>26</v>
      </c>
    </row>
    <row r="5" ht="44.25" customHeight="1">
      <c r="A5" s="6" t="s">
        <v>30</v>
      </c>
      <c r="B5" s="6" t="s">
        <v>34</v>
      </c>
    </row>
    <row r="6" ht="18.0" customHeight="1">
      <c r="A6" s="6" t="s">
        <v>37</v>
      </c>
      <c r="B6" s="6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3" width="44.0"/>
    <col customWidth="1" min="4" max="4" width="14.0"/>
    <col customWidth="1" min="5" max="5" width="44.0"/>
    <col customWidth="1" min="6" max="26" width="8.71"/>
  </cols>
  <sheetData>
    <row r="1">
      <c r="A1" s="1" t="s">
        <v>1</v>
      </c>
    </row>
    <row r="3" ht="30.0" customHeight="1">
      <c r="A3" s="4" t="s">
        <v>7</v>
      </c>
      <c r="B3" s="4" t="s">
        <v>8</v>
      </c>
      <c r="C3" s="4" t="s">
        <v>11</v>
      </c>
      <c r="D3" s="4" t="s">
        <v>14</v>
      </c>
      <c r="E3" s="4" t="s">
        <v>15</v>
      </c>
    </row>
    <row r="4" ht="18.0" customHeight="1">
      <c r="A4" s="6" t="s">
        <v>18</v>
      </c>
      <c r="B4" s="6" t="s">
        <v>24</v>
      </c>
      <c r="C4" s="6" t="s">
        <v>27</v>
      </c>
      <c r="D4" s="6" t="s">
        <v>28</v>
      </c>
      <c r="E4" s="6" t="s">
        <v>29</v>
      </c>
    </row>
    <row r="5" ht="18.0" customHeight="1">
      <c r="A5" s="6" t="s">
        <v>31</v>
      </c>
      <c r="B5" s="6" t="s">
        <v>33</v>
      </c>
      <c r="C5" s="6" t="s">
        <v>27</v>
      </c>
      <c r="D5" s="6" t="s">
        <v>28</v>
      </c>
      <c r="E5" s="6" t="s">
        <v>29</v>
      </c>
    </row>
    <row r="6" ht="18.0" customHeight="1">
      <c r="A6" s="6" t="s">
        <v>35</v>
      </c>
      <c r="B6" s="6" t="s">
        <v>36</v>
      </c>
      <c r="C6" s="6" t="s">
        <v>27</v>
      </c>
      <c r="D6" s="6" t="s">
        <v>28</v>
      </c>
      <c r="E6" s="6" t="s">
        <v>38</v>
      </c>
    </row>
    <row r="7" ht="18.0" customHeight="1">
      <c r="A7" s="6" t="s">
        <v>41</v>
      </c>
      <c r="B7" s="6" t="s">
        <v>42</v>
      </c>
      <c r="C7" s="6" t="s">
        <v>27</v>
      </c>
      <c r="D7" s="6" t="s">
        <v>28</v>
      </c>
      <c r="E7" s="6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60.0"/>
    <col customWidth="1" min="3" max="3" width="50.0"/>
    <col customWidth="1" min="4" max="26" width="8.71"/>
  </cols>
  <sheetData>
    <row r="1">
      <c r="A1" s="1" t="s">
        <v>85</v>
      </c>
    </row>
    <row r="3" ht="30.0" customHeight="1">
      <c r="A3" s="4" t="s">
        <v>86</v>
      </c>
      <c r="B3" s="4" t="s">
        <v>87</v>
      </c>
      <c r="C3" s="4" t="s">
        <v>88</v>
      </c>
    </row>
    <row r="4" ht="18.0" customHeight="1">
      <c r="A4" s="6" t="s">
        <v>89</v>
      </c>
      <c r="B4" s="6" t="s">
        <v>90</v>
      </c>
      <c r="C4" s="6" t="s">
        <v>91</v>
      </c>
    </row>
    <row r="5" ht="18.0" customHeight="1">
      <c r="A5" s="6" t="s">
        <v>92</v>
      </c>
      <c r="B5" s="6" t="s">
        <v>93</v>
      </c>
      <c r="C5" s="6" t="s">
        <v>94</v>
      </c>
    </row>
    <row r="6" ht="30.75" customHeight="1">
      <c r="A6" s="6" t="s">
        <v>95</v>
      </c>
      <c r="B6" s="6" t="s">
        <v>96</v>
      </c>
      <c r="C6" s="6" t="s">
        <v>97</v>
      </c>
    </row>
    <row r="7" ht="18.0" customHeight="1">
      <c r="A7" s="6" t="s">
        <v>98</v>
      </c>
      <c r="B7" s="6" t="s">
        <v>99</v>
      </c>
      <c r="C7" s="6" t="s">
        <v>100</v>
      </c>
    </row>
    <row r="8" ht="18.0" customHeight="1">
      <c r="A8" s="6" t="s">
        <v>79</v>
      </c>
      <c r="B8" s="6" t="s">
        <v>101</v>
      </c>
      <c r="C8" s="6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2026-10-25T19:40:34Z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