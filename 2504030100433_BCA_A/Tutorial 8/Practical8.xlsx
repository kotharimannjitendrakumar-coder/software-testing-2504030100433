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  <sheet state="visible" name="TestLink Structure" sheetId="3" r:id="rId6"/>
    <sheet state="visible" name="Defect Life Cycle" sheetId="4" r:id="rId7"/>
  </sheets>
  <definedNames/>
  <calcPr/>
  <extLst>
    <ext uri="GoogleSheetsCustomDataVersion2">
      <go:sheetsCustomData xmlns:go="http://customooxmlschemas.google.com/" r:id="rId8" roundtripDataChecksum="ve/JLrobnEUciKMqNFvWtPUN5fb1abG0i7iMWElsl04="/>
    </ext>
  </extLst>
</workbook>
</file>

<file path=xl/sharedStrings.xml><?xml version="1.0" encoding="utf-8"?>
<sst xmlns="http://schemas.openxmlformats.org/spreadsheetml/2006/main" count="103" uniqueCount="97">
  <si>
    <t>TestLink Structure Used</t>
  </si>
  <si>
    <t>Test Execution Summary</t>
  </si>
  <si>
    <t>Tutorial 8 - Bugzilla &amp; TestLink  |  Website: TestLink + Bugzilla (application under test: Automation Exercise login)  (https://automationexercise.com)</t>
  </si>
  <si>
    <t>Defect Life Cycle (Bugzilla)</t>
  </si>
  <si>
    <t>Tester: Kothari Mann Jitendrakumar  |   Enrollment No: 2504030100433</t>
  </si>
  <si>
    <t>Metric</t>
  </si>
  <si>
    <t>TC ID</t>
  </si>
  <si>
    <t>Stage</t>
  </si>
  <si>
    <t>Item</t>
  </si>
  <si>
    <t>Status</t>
  </si>
  <si>
    <t>Test Scenario</t>
  </si>
  <si>
    <t>Value</t>
  </si>
  <si>
    <t>Description</t>
  </si>
  <si>
    <t>Test Case</t>
  </si>
  <si>
    <t>Preconditions</t>
  </si>
  <si>
    <t>Test Steps</t>
  </si>
  <si>
    <t>Test Data</t>
  </si>
  <si>
    <t>Total Test Cases</t>
  </si>
  <si>
    <t>Expected Result</t>
  </si>
  <si>
    <t>Status (after execution)</t>
  </si>
  <si>
    <t>New</t>
  </si>
  <si>
    <t>Tester reports the bug</t>
  </si>
  <si>
    <t>TC01</t>
  </si>
  <si>
    <t>Assigned</t>
  </si>
  <si>
    <t>Bug is assigned to a developer</t>
  </si>
  <si>
    <t>In Progress</t>
  </si>
  <si>
    <t>Developer works on the fix</t>
  </si>
  <si>
    <t>Resolved</t>
  </si>
  <si>
    <t>Developer marks the fix as done</t>
  </si>
  <si>
    <t>Verified</t>
  </si>
  <si>
    <t>Tester retests and confirms the fix</t>
  </si>
  <si>
    <t>Closed</t>
  </si>
  <si>
    <t>Bug is closed</t>
  </si>
  <si>
    <t>Test case management</t>
  </si>
  <si>
    <t>Verify a test case can be created in TestLink</t>
  </si>
  <si>
    <t>TestLink project 'Automation Exercise', plan 'Login Module Testing' and suite 'Authentication Testing' created</t>
  </si>
  <si>
    <t>1. Log in to TestLink
2. Create the test project, test plan and test suite
3. Create test case 'Valid login' inside the suite</t>
  </si>
  <si>
    <t>Case: Valid login; Expected: Login successful</t>
  </si>
  <si>
    <t>Test case is saved in the suite and visible in the tree</t>
  </si>
  <si>
    <t>Pass</t>
  </si>
  <si>
    <t>TC02</t>
  </si>
  <si>
    <t>Test execution</t>
  </si>
  <si>
    <t>Verify a test case can be executed</t>
  </si>
  <si>
    <t>Test case is added to the test plan and a build exists</t>
  </si>
  <si>
    <t>1. Open Execute Tests
2. Select the build and the test case
3. Perform the steps on the website</t>
  </si>
  <si>
    <t>Build: Build 1</t>
  </si>
  <si>
    <t>Execution page opens for the selected test case</t>
  </si>
  <si>
    <t>Name</t>
  </si>
  <si>
    <t>TC03</t>
  </si>
  <si>
    <t>Test Project</t>
  </si>
  <si>
    <t>Verify a test case can be marked Pass</t>
  </si>
  <si>
    <t>Test case is being executed</t>
  </si>
  <si>
    <t>1. Compare actual result with expected result
2. Select status 'Passed' and save</t>
  </si>
  <si>
    <t>Automation Exercise</t>
  </si>
  <si>
    <t>Status: Passed</t>
  </si>
  <si>
    <t>Execution is saved with status Passed</t>
  </si>
  <si>
    <t>Test Plan</t>
  </si>
  <si>
    <t>Login Module Testing</t>
  </si>
  <si>
    <t>TC04</t>
  </si>
  <si>
    <t>Verify a test case can be marked Fail</t>
  </si>
  <si>
    <t>A test case whose actual result differs from expected (use a real failing case)</t>
  </si>
  <si>
    <t>Test Suite</t>
  </si>
  <si>
    <t>1. Select status 'Failed'
2. Add notes
3. Save</t>
  </si>
  <si>
    <t>Status: Failed</t>
  </si>
  <si>
    <t>Authentication Testing</t>
  </si>
  <si>
    <t>Execution is saved with status Failed</t>
  </si>
  <si>
    <t>Build</t>
  </si>
  <si>
    <t>TC05</t>
  </si>
  <si>
    <t>Defect management</t>
  </si>
  <si>
    <t>Build 1</t>
  </si>
  <si>
    <t>Verify a defect can be created in Bugzilla</t>
  </si>
  <si>
    <t>Logged in to Bugzilla; a real defect has been observed</t>
  </si>
  <si>
    <t>1. Click 'New Bug'
2. Fill Product, Component, Version, Summary and Description
3. Click 'Submit Bug'</t>
  </si>
  <si>
    <t>Summary: &lt;your real defect&gt;</t>
  </si>
  <si>
    <t>Bug is created and a Bug ID is generated</t>
  </si>
  <si>
    <t>TC06</t>
  </si>
  <si>
    <t>Verify severity can be assigned</t>
  </si>
  <si>
    <t>Bug exists</t>
  </si>
  <si>
    <t>1. Open the bug
2. Set Severity (e.g. major)
3. Save changes</t>
  </si>
  <si>
    <t>Severity: major</t>
  </si>
  <si>
    <t>Severity is saved on the bug</t>
  </si>
  <si>
    <t>TC07</t>
  </si>
  <si>
    <t>Verify priority can be assigned</t>
  </si>
  <si>
    <t>1. Open the bug
2. Set Priority (e.g. P2)
3. Save changes</t>
  </si>
  <si>
    <t>Priority: P2</t>
  </si>
  <si>
    <t>Priority is saved on the bug</t>
  </si>
  <si>
    <t>TC08</t>
  </si>
  <si>
    <t>Verify a defect can be retested and its status updated</t>
  </si>
  <si>
    <t>Bug is marked resolved/fixed</t>
  </si>
  <si>
    <t>1. Retest the scenario on the website
2. Update the bug status (Verified / Closed)
3. Save</t>
  </si>
  <si>
    <t>Status: Verified / Closed</t>
  </si>
  <si>
    <t>Bug status is updated to Verified/Closed after a successful retest</t>
  </si>
  <si>
    <t>Passed</t>
  </si>
  <si>
    <t>Failed</t>
  </si>
  <si>
    <t>Blocked</t>
  </si>
  <si>
    <t>Not Executed</t>
  </si>
  <si>
    <t>Pass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</si>
</sst>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2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top" wrapText="1"/>
    </xf>
    <xf borderId="1" fillId="0" fontId="5" numFmtId="0" xfId="0" applyAlignment="1" applyBorder="1" applyFont="1">
      <alignment horizontal="left" shrinkToFit="0" vertical="bottom" wrapText="0"/>
    </xf>
    <xf borderId="1" fillId="0" fontId="5" numFmtId="16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8.71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26" width="8.71"/>
  </cols>
  <sheetData>
    <row r="1">
      <c r="A1" s="1" t="s">
        <v>2</v>
      </c>
    </row>
    <row r="2">
      <c r="A2" s="3" t="s">
        <v>4</v>
      </c>
    </row>
    <row r="4" ht="30.0" customHeight="1">
      <c r="A4" s="4" t="s">
        <v>6</v>
      </c>
      <c r="B4" s="4" t="s">
        <v>10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18</v>
      </c>
      <c r="H4" s="4" t="s">
        <v>19</v>
      </c>
    </row>
    <row r="5" ht="57.75" customHeight="1">
      <c r="A5" s="7" t="s">
        <v>22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8" t="s">
        <v>39</v>
      </c>
    </row>
    <row r="6" ht="44.25" customHeight="1">
      <c r="A6" s="7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9"/>
    </row>
    <row r="7" ht="30.75" customHeight="1">
      <c r="A7" s="7" t="s">
        <v>48</v>
      </c>
      <c r="B7" s="5" t="s">
        <v>41</v>
      </c>
      <c r="C7" s="5" t="s">
        <v>50</v>
      </c>
      <c r="D7" s="5" t="s">
        <v>51</v>
      </c>
      <c r="E7" s="5" t="s">
        <v>52</v>
      </c>
      <c r="F7" s="5" t="s">
        <v>54</v>
      </c>
      <c r="G7" s="5" t="s">
        <v>55</v>
      </c>
      <c r="H7" s="9"/>
    </row>
    <row r="8" ht="44.25" customHeight="1">
      <c r="A8" s="7" t="s">
        <v>58</v>
      </c>
      <c r="B8" s="5" t="s">
        <v>41</v>
      </c>
      <c r="C8" s="5" t="s">
        <v>59</v>
      </c>
      <c r="D8" s="5" t="s">
        <v>60</v>
      </c>
      <c r="E8" s="5" t="s">
        <v>62</v>
      </c>
      <c r="F8" s="5" t="s">
        <v>63</v>
      </c>
      <c r="G8" s="5" t="s">
        <v>65</v>
      </c>
      <c r="H8" s="9"/>
    </row>
    <row r="9" ht="57.75" customHeight="1">
      <c r="A9" s="7" t="s">
        <v>67</v>
      </c>
      <c r="B9" s="5" t="s">
        <v>68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9"/>
    </row>
    <row r="10" ht="44.25" customHeight="1">
      <c r="A10" s="7" t="s">
        <v>75</v>
      </c>
      <c r="B10" s="5" t="s">
        <v>68</v>
      </c>
      <c r="C10" s="5" t="s">
        <v>76</v>
      </c>
      <c r="D10" s="5" t="s">
        <v>77</v>
      </c>
      <c r="E10" s="5" t="s">
        <v>78</v>
      </c>
      <c r="F10" s="5" t="s">
        <v>79</v>
      </c>
      <c r="G10" s="5" t="s">
        <v>80</v>
      </c>
      <c r="H10" s="9"/>
    </row>
    <row r="11" ht="44.25" customHeight="1">
      <c r="A11" s="7" t="s">
        <v>81</v>
      </c>
      <c r="B11" s="5" t="s">
        <v>68</v>
      </c>
      <c r="C11" s="5" t="s">
        <v>82</v>
      </c>
      <c r="D11" s="5" t="s">
        <v>77</v>
      </c>
      <c r="E11" s="5" t="s">
        <v>83</v>
      </c>
      <c r="F11" s="5" t="s">
        <v>84</v>
      </c>
      <c r="G11" s="5" t="s">
        <v>85</v>
      </c>
      <c r="H11" s="9"/>
    </row>
    <row r="12" ht="44.25" customHeight="1">
      <c r="A12" s="7" t="s">
        <v>86</v>
      </c>
      <c r="B12" s="5" t="s">
        <v>68</v>
      </c>
      <c r="C12" s="5" t="s">
        <v>87</v>
      </c>
      <c r="D12" s="5" t="s">
        <v>88</v>
      </c>
      <c r="E12" s="5" t="s">
        <v>89</v>
      </c>
      <c r="F12" s="5" t="s">
        <v>90</v>
      </c>
      <c r="G12" s="5" t="s">
        <v>91</v>
      </c>
      <c r="H12" s="9"/>
    </row>
    <row r="14" ht="48.0" customHeight="1">
      <c r="A14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4:H14"/>
  </mergeCells>
  <conditionalFormatting sqref="H5:H12">
    <cfRule type="cellIs" dxfId="0" priority="1" operator="equal">
      <formula>"Pass"</formula>
    </cfRule>
  </conditionalFormatting>
  <conditionalFormatting sqref="H5:H12">
    <cfRule type="cellIs" dxfId="1" priority="2" operator="equal">
      <formula>"Fail"</formula>
    </cfRule>
  </conditionalFormatting>
  <dataValidations>
    <dataValidation type="list" allowBlank="1" sqref="H5:H12">
      <formula1>"Pass,Fail,Blocked,Not Run"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2" t="s">
        <v>1</v>
      </c>
    </row>
    <row r="3" ht="30.0" customHeight="1">
      <c r="A3" s="4" t="s">
        <v>5</v>
      </c>
      <c r="B3" s="4" t="s">
        <v>11</v>
      </c>
    </row>
    <row r="4">
      <c r="A4" s="6" t="s">
        <v>17</v>
      </c>
      <c r="B4" s="11">
        <f>COUNTA('Test Cases'!$A$5:$A$12)</f>
        <v>8</v>
      </c>
    </row>
    <row r="5">
      <c r="A5" s="6" t="s">
        <v>92</v>
      </c>
      <c r="B5" s="11">
        <f>COUNTIF('Test Cases'!$H$5:$H$12,"Pass")</f>
        <v>1</v>
      </c>
    </row>
    <row r="6">
      <c r="A6" s="6" t="s">
        <v>93</v>
      </c>
      <c r="B6" s="11">
        <f>COUNTIF('Test Cases'!$H$5:$H$12,"Fail")</f>
        <v>0</v>
      </c>
    </row>
    <row r="7">
      <c r="A7" s="6" t="s">
        <v>94</v>
      </c>
      <c r="B7" s="11">
        <f>COUNTIF('Test Cases'!$H$5:$H$12,"Blocked")</f>
        <v>0</v>
      </c>
    </row>
    <row r="8">
      <c r="A8" s="6" t="s">
        <v>95</v>
      </c>
      <c r="B8" s="11">
        <f>B4-B5-B6-B7</f>
        <v>7</v>
      </c>
    </row>
    <row r="9">
      <c r="A9" s="6" t="s">
        <v>96</v>
      </c>
      <c r="B9" s="12">
        <f>IFERROR(B5/(B5+B6),0)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50.0"/>
    <col customWidth="1" min="3" max="26" width="8.71"/>
  </cols>
  <sheetData>
    <row r="1">
      <c r="A1" s="2" t="s">
        <v>0</v>
      </c>
    </row>
    <row r="3" ht="30.0" customHeight="1">
      <c r="A3" s="4" t="s">
        <v>8</v>
      </c>
      <c r="B3" s="4" t="s">
        <v>47</v>
      </c>
    </row>
    <row r="4" ht="18.0" customHeight="1">
      <c r="A4" s="5" t="s">
        <v>49</v>
      </c>
      <c r="B4" s="5" t="s">
        <v>53</v>
      </c>
    </row>
    <row r="5" ht="18.0" customHeight="1">
      <c r="A5" s="5" t="s">
        <v>56</v>
      </c>
      <c r="B5" s="5" t="s">
        <v>57</v>
      </c>
    </row>
    <row r="6" ht="18.0" customHeight="1">
      <c r="A6" s="5" t="s">
        <v>61</v>
      </c>
      <c r="B6" s="5" t="s">
        <v>64</v>
      </c>
    </row>
    <row r="7" ht="18.0" customHeight="1">
      <c r="A7" s="5" t="s">
        <v>66</v>
      </c>
      <c r="B7" s="5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70.0"/>
    <col customWidth="1" min="4" max="26" width="8.71"/>
  </cols>
  <sheetData>
    <row r="1">
      <c r="A1" s="2" t="s">
        <v>3</v>
      </c>
    </row>
    <row r="3" ht="30.0" customHeight="1">
      <c r="A3" s="4" t="s">
        <v>7</v>
      </c>
      <c r="B3" s="4" t="s">
        <v>9</v>
      </c>
      <c r="C3" s="4" t="s">
        <v>12</v>
      </c>
    </row>
    <row r="4" ht="18.0" customHeight="1">
      <c r="A4" s="5">
        <v>1.0</v>
      </c>
      <c r="B4" s="5" t="s">
        <v>20</v>
      </c>
      <c r="C4" s="5" t="s">
        <v>21</v>
      </c>
    </row>
    <row r="5" ht="18.0" customHeight="1">
      <c r="A5" s="5">
        <v>2.0</v>
      </c>
      <c r="B5" s="5" t="s">
        <v>23</v>
      </c>
      <c r="C5" s="5" t="s">
        <v>24</v>
      </c>
    </row>
    <row r="6" ht="18.0" customHeight="1">
      <c r="A6" s="5">
        <v>3.0</v>
      </c>
      <c r="B6" s="5" t="s">
        <v>25</v>
      </c>
      <c r="C6" s="5" t="s">
        <v>26</v>
      </c>
    </row>
    <row r="7" ht="18.0" customHeight="1">
      <c r="A7" s="5">
        <v>4.0</v>
      </c>
      <c r="B7" s="5" t="s">
        <v>27</v>
      </c>
      <c r="C7" s="5" t="s">
        <v>28</v>
      </c>
    </row>
    <row r="8" ht="18.0" customHeight="1">
      <c r="A8" s="5">
        <v>5.0</v>
      </c>
      <c r="B8" s="5" t="s">
        <v>29</v>
      </c>
      <c r="C8" s="5" t="s">
        <v>30</v>
      </c>
    </row>
    <row r="9" ht="18.0" customHeight="1">
      <c r="A9" s="5">
        <v>6.0</v>
      </c>
      <c r="B9" s="5" t="s">
        <v>31</v>
      </c>
      <c r="C9" s="5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2026-10-22T12:56:16Z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