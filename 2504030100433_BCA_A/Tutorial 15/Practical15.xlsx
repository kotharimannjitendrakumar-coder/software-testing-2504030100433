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Summary" sheetId="2" r:id="rId5"/>
    <sheet state="visible" name="Locators" sheetId="3" r:id="rId6"/>
  </sheets>
  <definedNames/>
  <calcPr/>
  <extLst>
    <ext uri="GoogleSheetsCustomDataVersion2">
      <go:sheetsCustomData xmlns:go="http://customooxmlschemas.google.com/" r:id="rId7" roundtripDataChecksum="qyUf28f9seQNWShn4Yk3DxYDhbaWWLYufSjWnxTFP4o="/>
    </ext>
  </extLst>
</workbook>
</file>

<file path=xl/sharedStrings.xml><?xml version="1.0" encoding="utf-8"?>
<sst xmlns="http://schemas.openxmlformats.org/spreadsheetml/2006/main" count="121" uniqueCount="94">
  <si>
    <t>Test Execution Summary</t>
  </si>
  <si>
    <t>Tutorial 15 - Login, Authentication, Assertion &amp; Exception Handling  |  Website: SauceDemo  (https://www.saucedemo.com)</t>
  </si>
  <si>
    <t>Locators used in t15_login_assertions_saucedemo.py</t>
  </si>
  <si>
    <t>Tester: Kothari Mann Jitendrakumar  |   Enrollment No: 2504030100433</t>
  </si>
  <si>
    <t>TC ID</t>
  </si>
  <si>
    <t>Metric</t>
  </si>
  <si>
    <t>Web Element</t>
  </si>
  <si>
    <t>Locator Used in the Script</t>
  </si>
  <si>
    <t>LOGIN01</t>
  </si>
  <si>
    <t>Username / Password / Login</t>
  </si>
  <si>
    <t>By.ID "user-name" / "password" / "login-button"</t>
  </si>
  <si>
    <t>LOGIN02-05,10</t>
  </si>
  <si>
    <t>Error message</t>
  </si>
  <si>
    <t>By.CSS_SELECTOR "h3[data-test='error']"</t>
  </si>
  <si>
    <t>LOGIN06</t>
  </si>
  <si>
    <t>Inventory container</t>
  </si>
  <si>
    <t>By.ID "inventory_container"</t>
  </si>
  <si>
    <t>LOGIN07</t>
  </si>
  <si>
    <t>Page header</t>
  </si>
  <si>
    <t>By.CLASS_NAME "app_logo" / "title"</t>
  </si>
  <si>
    <t>LOGIN08</t>
  </si>
  <si>
    <t>Menu / Logout</t>
  </si>
  <si>
    <t>Value</t>
  </si>
  <si>
    <t>By.ID "react-burger-menu-btn" / "logout_sidebar_link"</t>
  </si>
  <si>
    <t>LOGIN09</t>
  </si>
  <si>
    <t>Missing element</t>
  </si>
  <si>
    <t>By.ID "this-element-does-not-exist"</t>
  </si>
  <si>
    <t>Total Test Cases</t>
  </si>
  <si>
    <t>Test Scenario</t>
  </si>
  <si>
    <t>Test Case</t>
  </si>
  <si>
    <t>Preconditions</t>
  </si>
  <si>
    <t>Test Steps</t>
  </si>
  <si>
    <t>Test Data</t>
  </si>
  <si>
    <t>Expected Result</t>
  </si>
  <si>
    <t>Status (after execution)</t>
  </si>
  <si>
    <t>Login</t>
  </si>
  <si>
    <t>Valid login</t>
  </si>
  <si>
    <t>Python, Selenium and Chrome are installed; script file is open in VS Code</t>
  </si>
  <si>
    <t>1. Script opens the login page
2. Types standard_user / secret_sauce
3. Clicks Login</t>
  </si>
  <si>
    <t>standard_user / secret_sauce</t>
  </si>
  <si>
    <t>Products page opens (URL contains 'inventory')</t>
  </si>
  <si>
    <t>Pass</t>
  </si>
  <si>
    <t>LOGIN02</t>
  </si>
  <si>
    <t>Invalid username</t>
  </si>
  <si>
    <t>Login page is displayed</t>
  </si>
  <si>
    <t>1. Types wrong_user / secret_sauce
2. Clicks Login
3. Reads the error</t>
  </si>
  <si>
    <t>wrong_user / secret_sauce</t>
  </si>
  <si>
    <t>Error 'Epic sadface: Username and password do not match any user in this service'</t>
  </si>
  <si>
    <t>LOGIN03</t>
  </si>
  <si>
    <t>Invalid password</t>
  </si>
  <si>
    <t>1. Types standard_user / wrong_pass
2. Clicks Login
3. Reads the error</t>
  </si>
  <si>
    <t>standard_user / wrong_pass</t>
  </si>
  <si>
    <t>Passed</t>
  </si>
  <si>
    <t>LOGIN04</t>
  </si>
  <si>
    <t>Blank username</t>
  </si>
  <si>
    <t>1. Leaves username empty, types secret_sauce
2. Clicks Login</t>
  </si>
  <si>
    <t>(blank) / secret_sauce</t>
  </si>
  <si>
    <t>Error 'Epic sadface: Username is required'</t>
  </si>
  <si>
    <t>LOGIN05</t>
  </si>
  <si>
    <t>Failed</t>
  </si>
  <si>
    <t>Blank password</t>
  </si>
  <si>
    <t>1. Types standard_user, leaves password empty
2. Clicks Login</t>
  </si>
  <si>
    <t>standard_user / (blank)</t>
  </si>
  <si>
    <t>Error 'Epic sadface: Password is required'</t>
  </si>
  <si>
    <t>Blocked</t>
  </si>
  <si>
    <t>Authentication</t>
  </si>
  <si>
    <t>Verify successful authentication</t>
  </si>
  <si>
    <t>Valid login done</t>
  </si>
  <si>
    <t>1. Logs in with valid credentials
2. Asserts the inventory container is displayed
3. Asserts at least one product is listed</t>
  </si>
  <si>
    <t>Not Executed</t>
  </si>
  <si>
    <t>Inventory container and products are displayed</t>
  </si>
  <si>
    <t>Assertion</t>
  </si>
  <si>
    <t>Verify page title using assertion</t>
  </si>
  <si>
    <t>1. Logs in
2. assert driver.title == 'Swag Labs'
3. assert the header text 'Products'</t>
  </si>
  <si>
    <t>Expected title: Swag Labs</t>
  </si>
  <si>
    <t>Title is 'Swag Labs' and the header shows 'Products'</t>
  </si>
  <si>
    <t>Pass %</t>
  </si>
  <si>
    <t>Logout</t>
  </si>
  <si>
    <t>Verify logout</t>
  </si>
  <si>
    <t>User is logged in</t>
  </si>
  <si>
    <t>1. Clicks the menu (hamburger) button
2. Clicks 'Logout'
3. Checks that the Login button is displayed</t>
  </si>
  <si>
    <t>Menu &gt; Logout</t>
  </si>
  <si>
    <t>Login page is displayed again</t>
  </si>
  <si>
    <t>Exception</t>
  </si>
  <si>
    <t>Handle missing element exception</t>
  </si>
  <si>
    <t>Login page is open</t>
  </si>
  <si>
    <t>1. Script looks for an element that does not exist
2. Catches NoSuchElementException
3. Prints a handled message</t>
  </si>
  <si>
    <t>Element id: this-element-does-not-exist</t>
  </si>
  <si>
    <t>NoSuchElementException is caught and the script continues</t>
  </si>
  <si>
    <t>LOGIN10</t>
  </si>
  <si>
    <t>Verify error message (locked-out user)</t>
  </si>
  <si>
    <t>1. Types locked_out_user / secret_sauce
2. Clicks Login
3. Asserts the error text</t>
  </si>
  <si>
    <t>locked_out_user / secret_sauce</t>
  </si>
  <si>
    <t>Error 'Epic sadface: Sorry, this user has been locked out.'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</si>
</sst>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3.0"/>
      <color theme="1"/>
      <name val="Arial"/>
    </font>
    <font>
      <b/>
      <sz val="12.0"/>
      <color theme="1"/>
      <name val="Arial"/>
    </font>
    <font>
      <i/>
      <sz val="9.0"/>
      <color rgb="FFC00000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1" fillId="2" fontId="4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bottom" wrapText="0"/>
    </xf>
    <xf borderId="1" fillId="0" fontId="5" numFmtId="164" xfId="0" applyAlignment="1" applyBorder="1" applyFont="1" applyNumberFormat="1">
      <alignment horizontal="left" shrinkToFit="0" vertical="bottom" wrapText="0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2">
    <dxf>
      <font>
        <b/>
        <color rgb="FF1E7B34"/>
        <name val="Arial"/>
      </font>
      <fill>
        <patternFill patternType="none"/>
      </fill>
      <border/>
    </dxf>
    <dxf>
      <font>
        <b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36.0"/>
    <col customWidth="1" min="4" max="4" width="32.0"/>
    <col customWidth="1" min="5" max="5" width="54.0"/>
    <col customWidth="1" min="6" max="6" width="34.0"/>
    <col customWidth="1" min="7" max="7" width="44.0"/>
    <col customWidth="1" min="8" max="8" width="16.0"/>
    <col customWidth="1" min="9" max="26" width="8.71"/>
  </cols>
  <sheetData>
    <row r="1">
      <c r="A1" s="2" t="s">
        <v>1</v>
      </c>
    </row>
    <row r="2">
      <c r="A2" s="3" t="s">
        <v>3</v>
      </c>
    </row>
    <row r="4" ht="30.0" customHeight="1">
      <c r="A4" s="4" t="s">
        <v>4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34</v>
      </c>
    </row>
    <row r="5" ht="44.25" customHeight="1">
      <c r="A5" s="7" t="s">
        <v>8</v>
      </c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8" t="s">
        <v>41</v>
      </c>
    </row>
    <row r="6" ht="44.25" customHeight="1">
      <c r="A6" s="7" t="s">
        <v>42</v>
      </c>
      <c r="B6" s="5" t="s">
        <v>35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8" t="s">
        <v>41</v>
      </c>
    </row>
    <row r="7" ht="44.25" customHeight="1">
      <c r="A7" s="7" t="s">
        <v>48</v>
      </c>
      <c r="B7" s="5" t="s">
        <v>35</v>
      </c>
      <c r="C7" s="5" t="s">
        <v>49</v>
      </c>
      <c r="D7" s="5" t="s">
        <v>44</v>
      </c>
      <c r="E7" s="5" t="s">
        <v>50</v>
      </c>
      <c r="F7" s="5" t="s">
        <v>51</v>
      </c>
      <c r="G7" s="5" t="s">
        <v>47</v>
      </c>
      <c r="H7" s="8" t="s">
        <v>41</v>
      </c>
    </row>
    <row r="8" ht="30.75" customHeight="1">
      <c r="A8" s="7" t="s">
        <v>53</v>
      </c>
      <c r="B8" s="5" t="s">
        <v>35</v>
      </c>
      <c r="C8" s="5" t="s">
        <v>54</v>
      </c>
      <c r="D8" s="5" t="s">
        <v>44</v>
      </c>
      <c r="E8" s="5" t="s">
        <v>55</v>
      </c>
      <c r="F8" s="5" t="s">
        <v>56</v>
      </c>
      <c r="G8" s="5" t="s">
        <v>57</v>
      </c>
      <c r="H8" s="8" t="s">
        <v>41</v>
      </c>
    </row>
    <row r="9" ht="30.75" customHeight="1">
      <c r="A9" s="7" t="s">
        <v>58</v>
      </c>
      <c r="B9" s="5" t="s">
        <v>35</v>
      </c>
      <c r="C9" s="5" t="s">
        <v>60</v>
      </c>
      <c r="D9" s="5" t="s">
        <v>44</v>
      </c>
      <c r="E9" s="5" t="s">
        <v>61</v>
      </c>
      <c r="F9" s="5" t="s">
        <v>62</v>
      </c>
      <c r="G9" s="5" t="s">
        <v>63</v>
      </c>
      <c r="H9" s="8" t="s">
        <v>41</v>
      </c>
    </row>
    <row r="10" ht="44.25" customHeight="1">
      <c r="A10" s="7" t="s">
        <v>14</v>
      </c>
      <c r="B10" s="5" t="s">
        <v>65</v>
      </c>
      <c r="C10" s="5" t="s">
        <v>66</v>
      </c>
      <c r="D10" s="5" t="s">
        <v>67</v>
      </c>
      <c r="E10" s="5" t="s">
        <v>68</v>
      </c>
      <c r="F10" s="5" t="s">
        <v>39</v>
      </c>
      <c r="G10" s="5" t="s">
        <v>70</v>
      </c>
      <c r="H10" s="8" t="s">
        <v>41</v>
      </c>
    </row>
    <row r="11" ht="44.25" customHeight="1">
      <c r="A11" s="7" t="s">
        <v>17</v>
      </c>
      <c r="B11" s="5" t="s">
        <v>71</v>
      </c>
      <c r="C11" s="5" t="s">
        <v>72</v>
      </c>
      <c r="D11" s="5" t="s">
        <v>67</v>
      </c>
      <c r="E11" s="5" t="s">
        <v>73</v>
      </c>
      <c r="F11" s="5" t="s">
        <v>74</v>
      </c>
      <c r="G11" s="5" t="s">
        <v>75</v>
      </c>
      <c r="H11" s="8" t="s">
        <v>41</v>
      </c>
    </row>
    <row r="12" ht="44.25" customHeight="1">
      <c r="A12" s="7" t="s">
        <v>20</v>
      </c>
      <c r="B12" s="5" t="s">
        <v>77</v>
      </c>
      <c r="C12" s="5" t="s">
        <v>78</v>
      </c>
      <c r="D12" s="5" t="s">
        <v>79</v>
      </c>
      <c r="E12" s="5" t="s">
        <v>80</v>
      </c>
      <c r="F12" s="5" t="s">
        <v>81</v>
      </c>
      <c r="G12" s="5" t="s">
        <v>82</v>
      </c>
      <c r="H12" s="8" t="s">
        <v>41</v>
      </c>
    </row>
    <row r="13" ht="44.25" customHeight="1">
      <c r="A13" s="7" t="s">
        <v>24</v>
      </c>
      <c r="B13" s="5" t="s">
        <v>83</v>
      </c>
      <c r="C13" s="5" t="s">
        <v>84</v>
      </c>
      <c r="D13" s="5" t="s">
        <v>85</v>
      </c>
      <c r="E13" s="5" t="s">
        <v>86</v>
      </c>
      <c r="F13" s="5" t="s">
        <v>87</v>
      </c>
      <c r="G13" s="5" t="s">
        <v>88</v>
      </c>
      <c r="H13" s="8" t="s">
        <v>41</v>
      </c>
    </row>
    <row r="14" ht="44.25" customHeight="1">
      <c r="A14" s="7" t="s">
        <v>89</v>
      </c>
      <c r="B14" s="5" t="s">
        <v>12</v>
      </c>
      <c r="C14" s="5" t="s">
        <v>90</v>
      </c>
      <c r="D14" s="5" t="s">
        <v>44</v>
      </c>
      <c r="E14" s="5" t="s">
        <v>91</v>
      </c>
      <c r="F14" s="5" t="s">
        <v>92</v>
      </c>
      <c r="G14" s="5" t="s">
        <v>93</v>
      </c>
      <c r="H14" s="8" t="s">
        <v>41</v>
      </c>
    </row>
    <row r="16" ht="48.0" customHeight="1">
      <c r="A16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6:H16"/>
  </mergeCells>
  <conditionalFormatting sqref="H5:H14">
    <cfRule type="cellIs" dxfId="0" priority="1" operator="equal">
      <formula>"Pass"</formula>
    </cfRule>
  </conditionalFormatting>
  <conditionalFormatting sqref="H5:H14">
    <cfRule type="cellIs" dxfId="1" priority="2" operator="equal">
      <formula>"Fail"</formula>
    </cfRule>
  </conditionalFormatting>
  <dataValidations>
    <dataValidation type="list" allowBlank="1" sqref="H5:H14">
      <formula1>"Pass,Fail,Blocked,Not Run"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6.0"/>
    <col customWidth="1" min="3" max="26" width="8.71"/>
  </cols>
  <sheetData>
    <row r="1">
      <c r="A1" s="1" t="s">
        <v>0</v>
      </c>
    </row>
    <row r="3" ht="30.0" customHeight="1">
      <c r="A3" s="4" t="s">
        <v>5</v>
      </c>
      <c r="B3" s="4" t="s">
        <v>22</v>
      </c>
    </row>
    <row r="4">
      <c r="A4" s="6" t="s">
        <v>27</v>
      </c>
      <c r="B4" s="9">
        <f>COUNTA('Test Cases'!$A$5:$A$14)</f>
        <v>10</v>
      </c>
    </row>
    <row r="5">
      <c r="A5" s="6" t="s">
        <v>52</v>
      </c>
      <c r="B5" s="9">
        <f>COUNTIF('Test Cases'!$H$5:$H$14,"Pass")</f>
        <v>10</v>
      </c>
    </row>
    <row r="6">
      <c r="A6" s="6" t="s">
        <v>59</v>
      </c>
      <c r="B6" s="9">
        <f>COUNTIF('Test Cases'!$H$5:$H$14,"Fail")</f>
        <v>0</v>
      </c>
    </row>
    <row r="7">
      <c r="A7" s="6" t="s">
        <v>64</v>
      </c>
      <c r="B7" s="9">
        <f>COUNTIF('Test Cases'!$H$5:$H$14,"Blocked")</f>
        <v>0</v>
      </c>
    </row>
    <row r="8">
      <c r="A8" s="6" t="s">
        <v>69</v>
      </c>
      <c r="B8" s="9">
        <f>B4-B5-B6-B7</f>
        <v>0</v>
      </c>
    </row>
    <row r="9">
      <c r="A9" s="6" t="s">
        <v>76</v>
      </c>
      <c r="B9" s="10">
        <f>IFERROR(B5/(B5+B6),0)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64.0"/>
    <col customWidth="1" min="4" max="26" width="8.71"/>
  </cols>
  <sheetData>
    <row r="1">
      <c r="A1" s="1" t="s">
        <v>2</v>
      </c>
    </row>
    <row r="3" ht="30.0" customHeight="1">
      <c r="A3" s="4" t="s">
        <v>4</v>
      </c>
      <c r="B3" s="4" t="s">
        <v>6</v>
      </c>
      <c r="C3" s="4" t="s">
        <v>7</v>
      </c>
    </row>
    <row r="4" ht="18.0" customHeight="1">
      <c r="A4" s="5" t="s">
        <v>8</v>
      </c>
      <c r="B4" s="5" t="s">
        <v>9</v>
      </c>
      <c r="C4" s="5" t="s">
        <v>10</v>
      </c>
    </row>
    <row r="5" ht="30.75" customHeight="1">
      <c r="A5" s="5" t="s">
        <v>11</v>
      </c>
      <c r="B5" s="5" t="s">
        <v>12</v>
      </c>
      <c r="C5" s="5" t="s">
        <v>13</v>
      </c>
    </row>
    <row r="6" ht="18.0" customHeight="1">
      <c r="A6" s="5" t="s">
        <v>14</v>
      </c>
      <c r="B6" s="5" t="s">
        <v>15</v>
      </c>
      <c r="C6" s="5" t="s">
        <v>16</v>
      </c>
    </row>
    <row r="7" ht="18.0" customHeight="1">
      <c r="A7" s="5" t="s">
        <v>17</v>
      </c>
      <c r="B7" s="5" t="s">
        <v>18</v>
      </c>
      <c r="C7" s="5" t="s">
        <v>19</v>
      </c>
    </row>
    <row r="8" ht="18.0" customHeight="1">
      <c r="A8" s="5" t="s">
        <v>20</v>
      </c>
      <c r="B8" s="5" t="s">
        <v>21</v>
      </c>
      <c r="C8" s="5" t="s">
        <v>23</v>
      </c>
    </row>
    <row r="9" ht="18.0" customHeight="1">
      <c r="A9" s="5" t="s">
        <v>24</v>
      </c>
      <c r="B9" s="5" t="s">
        <v>25</v>
      </c>
      <c r="C9" s="5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2026-10-25T19:40:34Z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