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WB Coverage" sheetId="3" r:id="rId6"/>
    <sheet state="visible" name="WB Paths" sheetId="4" r:id="rId7"/>
  </sheets>
  <definedNames/>
  <calcPr/>
  <extLst>
    <ext uri="GoogleSheetsCustomDataVersion2">
      <go:sheetsCustomData xmlns:go="http://customooxmlschemas.google.com/" r:id="rId8" roundtripDataChecksum="Jzum33DtWxjTCaLkpmtHOLzW4VyGxjfgREwgsGOl36A="/>
    </ext>
  </extLst>
</workbook>
</file>

<file path=xl/sharedStrings.xml><?xml version="1.0" encoding="utf-8"?>
<sst xmlns="http://schemas.openxmlformats.org/spreadsheetml/2006/main" count="131" uniqueCount="100">
  <si>
    <t>Test Execution Summary</t>
  </si>
  <si>
    <t>Tutorial 9 - Black-Box &amp; White-Box Testing  |  Website: OrangeHRM Demo (black box, integration, system) + Python program (white box)  (https://opensource-demo.orangehrmlive.com)</t>
  </si>
  <si>
    <t>Tester: Kothari Mann Jitendrakumar  |   Enrollment No: 2504030100433</t>
  </si>
  <si>
    <t>Metric</t>
  </si>
  <si>
    <t>TC ID</t>
  </si>
  <si>
    <t>White-Box Coverage (login.py) - measured by running the program</t>
  </si>
  <si>
    <t>Path Coverage</t>
  </si>
  <si>
    <t>Value</t>
  </si>
  <si>
    <t>Total Test Cases</t>
  </si>
  <si>
    <t>Path</t>
  </si>
  <si>
    <t>Test</t>
  </si>
  <si>
    <t>Input</t>
  </si>
  <si>
    <t>Condition outcome</t>
  </si>
  <si>
    <t>Lines executed</t>
  </si>
  <si>
    <t>Statement coverage</t>
  </si>
  <si>
    <t>Result</t>
  </si>
  <si>
    <t>Branch taken</t>
  </si>
  <si>
    <t>Covered by</t>
  </si>
  <si>
    <t>WB01</t>
  </si>
  <si>
    <t>Test Scenario</t>
  </si>
  <si>
    <t>Test Case</t>
  </si>
  <si>
    <t>Preconditions</t>
  </si>
  <si>
    <t>Test Steps</t>
  </si>
  <si>
    <t>Test Data</t>
  </si>
  <si>
    <t>Expected Result</t>
  </si>
  <si>
    <t>Status (after execution)</t>
  </si>
  <si>
    <t>admin / admin123</t>
  </si>
  <si>
    <t>username != admin</t>
  </si>
  <si>
    <t>[1, 2, 3, 4, 5]</t>
  </si>
  <si>
    <t>Invalid Username or Password</t>
  </si>
  <si>
    <t>5/6</t>
  </si>
  <si>
    <t>WB03</t>
  </si>
  <si>
    <t>if (True)</t>
  </si>
  <si>
    <t>BB01</t>
  </si>
  <si>
    <t>WB02</t>
  </si>
  <si>
    <t>admin / 12345</t>
  </si>
  <si>
    <t>username == admin and password != admin123</t>
  </si>
  <si>
    <t>[1, 2, 3, 7]</t>
  </si>
  <si>
    <t>4/6</t>
  </si>
  <si>
    <t>else (False)</t>
  </si>
  <si>
    <t>student / admin123</t>
  </si>
  <si>
    <t>username == admin and password == admin123</t>
  </si>
  <si>
    <t>All</t>
  </si>
  <si>
    <t>Login Successful + Dashboard Opened</t>
  </si>
  <si>
    <t>WB01 + WB02 + WB03</t>
  </si>
  <si>
    <t>[1, 2, 3, 4, 5, 7]</t>
  </si>
  <si>
    <t>6/6 = 100%</t>
  </si>
  <si>
    <t>2/2 branches = 100%</t>
  </si>
  <si>
    <t>Black Box</t>
  </si>
  <si>
    <t>Verify valid login</t>
  </si>
  <si>
    <t>Login page is open</t>
  </si>
  <si>
    <t>1. Open https://opensource-demo.orangehrmlive.com
2. Enter Username Admin
3. Enter Password admin123
4. Click Login</t>
  </si>
  <si>
    <t>Admin / admin123</t>
  </si>
  <si>
    <t>User logs in and the Dashboard opens</t>
  </si>
  <si>
    <t>Pass</t>
  </si>
  <si>
    <t>BB02</t>
  </si>
  <si>
    <t>Verify invalid login</t>
  </si>
  <si>
    <t>1. Enter Username Admin
2. Enter Password wrong123
3. Click Login</t>
  </si>
  <si>
    <t>Admin / wrong123</t>
  </si>
  <si>
    <t>Error 'Invalid credentials' is displayed</t>
  </si>
  <si>
    <t>Passed</t>
  </si>
  <si>
    <t>BB03</t>
  </si>
  <si>
    <t>Verify blank login</t>
  </si>
  <si>
    <t>1. Leave both fields blank
2. Click Login</t>
  </si>
  <si>
    <t>(blank) / (blank)</t>
  </si>
  <si>
    <t>'Required' message is shown under both fields</t>
  </si>
  <si>
    <t>INT01</t>
  </si>
  <si>
    <t>Integration</t>
  </si>
  <si>
    <t>Verify Login -&gt; Dashboard</t>
  </si>
  <si>
    <t>Valid credentials available</t>
  </si>
  <si>
    <t>1. Log in with valid credentials
2. Observe the page</t>
  </si>
  <si>
    <t>Dashboard opens after successful login</t>
  </si>
  <si>
    <t>INT02</t>
  </si>
  <si>
    <t>Verify Dashboard -&gt; Employee Management (PIM)</t>
  </si>
  <si>
    <t>Logged in on the Dashboard</t>
  </si>
  <si>
    <t>1. Click 'PIM' in the left menu</t>
  </si>
  <si>
    <t>-</t>
  </si>
  <si>
    <t>Employee Information (employee list) page opens</t>
  </si>
  <si>
    <t>SYS01</t>
  </si>
  <si>
    <t>System</t>
  </si>
  <si>
    <t>Verify the complete workflow</t>
  </si>
  <si>
    <t>OrangeHRM demo available</t>
  </si>
  <si>
    <t>1. Log in
2. Open PIM
3. Click 'Add' and create an employee
4. Search the employee in the Employee List
5. Log out from the profile menu</t>
  </si>
  <si>
    <t>Employee name: Test Student&lt;number&gt;</t>
  </si>
  <si>
    <t>Employee is added, found in the list and logout returns to the login page</t>
  </si>
  <si>
    <t>White Box</t>
  </si>
  <si>
    <t>Verify if-branch (valid credentials) of the Python program</t>
  </si>
  <si>
    <t>Python program saved as login.py</t>
  </si>
  <si>
    <t>1. Run login.py
2. Enter admin / admin123</t>
  </si>
  <si>
    <t>Branch executed: 'Login Successful' and 'Dashboard Opened' printed</t>
  </si>
  <si>
    <t>Verify else-branch (wrong password)</t>
  </si>
  <si>
    <t>login.py is saved</t>
  </si>
  <si>
    <t>1. Run login.py
2. Enter admin / 12345</t>
  </si>
  <si>
    <t>Branch executed: 'Invalid Username or Password' printed</t>
  </si>
  <si>
    <t>Verify else-branch (wrong username)</t>
  </si>
  <si>
    <t>1. Run login.py
2. Enter student / admin123</t>
  </si>
  <si>
    <t>Failed</t>
  </si>
  <si>
    <t>Blocked</t>
  </si>
  <si>
    <t>Not Executed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</si>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</sst>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top" wrapText="1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2" t="s">
        <v>1</v>
      </c>
    </row>
    <row r="2">
      <c r="A2" s="3" t="s">
        <v>2</v>
      </c>
    </row>
    <row r="4" ht="30.0" customHeight="1">
      <c r="A4" s="4" t="s">
        <v>4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ht="57.75" customHeight="1">
      <c r="A5" s="7" t="s">
        <v>33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8" t="s">
        <v>54</v>
      </c>
    </row>
    <row r="6" ht="44.25" customHeight="1">
      <c r="A6" s="7" t="s">
        <v>55</v>
      </c>
      <c r="B6" s="6" t="s">
        <v>48</v>
      </c>
      <c r="C6" s="6" t="s">
        <v>56</v>
      </c>
      <c r="D6" s="6" t="s">
        <v>50</v>
      </c>
      <c r="E6" s="6" t="s">
        <v>57</v>
      </c>
      <c r="F6" s="6" t="s">
        <v>58</v>
      </c>
      <c r="G6" s="6" t="s">
        <v>59</v>
      </c>
      <c r="H6" s="8" t="s">
        <v>54</v>
      </c>
    </row>
    <row r="7" ht="30.75" customHeight="1">
      <c r="A7" s="7" t="s">
        <v>61</v>
      </c>
      <c r="B7" s="6" t="s">
        <v>48</v>
      </c>
      <c r="C7" s="6" t="s">
        <v>62</v>
      </c>
      <c r="D7" s="6" t="s">
        <v>50</v>
      </c>
      <c r="E7" s="6" t="s">
        <v>63</v>
      </c>
      <c r="F7" s="6" t="s">
        <v>64</v>
      </c>
      <c r="G7" s="6" t="s">
        <v>65</v>
      </c>
      <c r="H7" s="8" t="s">
        <v>54</v>
      </c>
    </row>
    <row r="8" ht="30.75" customHeight="1">
      <c r="A8" s="7" t="s">
        <v>66</v>
      </c>
      <c r="B8" s="6" t="s">
        <v>67</v>
      </c>
      <c r="C8" s="6" t="s">
        <v>68</v>
      </c>
      <c r="D8" s="6" t="s">
        <v>69</v>
      </c>
      <c r="E8" s="6" t="s">
        <v>70</v>
      </c>
      <c r="F8" s="6" t="s">
        <v>52</v>
      </c>
      <c r="G8" s="6" t="s">
        <v>71</v>
      </c>
      <c r="H8" s="8" t="s">
        <v>54</v>
      </c>
    </row>
    <row r="9" ht="30.75" customHeight="1">
      <c r="A9" s="7" t="s">
        <v>72</v>
      </c>
      <c r="B9" s="6" t="s">
        <v>67</v>
      </c>
      <c r="C9" s="6" t="s">
        <v>73</v>
      </c>
      <c r="D9" s="6" t="s">
        <v>74</v>
      </c>
      <c r="E9" s="6" t="s">
        <v>75</v>
      </c>
      <c r="F9" s="6" t="s">
        <v>76</v>
      </c>
      <c r="G9" s="6" t="s">
        <v>77</v>
      </c>
      <c r="H9" s="8" t="s">
        <v>54</v>
      </c>
    </row>
    <row r="10" ht="71.25" customHeight="1">
      <c r="A10" s="7" t="s">
        <v>78</v>
      </c>
      <c r="B10" s="6" t="s">
        <v>79</v>
      </c>
      <c r="C10" s="6" t="s">
        <v>80</v>
      </c>
      <c r="D10" s="6" t="s">
        <v>81</v>
      </c>
      <c r="E10" s="6" t="s">
        <v>82</v>
      </c>
      <c r="F10" s="6" t="s">
        <v>83</v>
      </c>
      <c r="G10" s="6" t="s">
        <v>84</v>
      </c>
      <c r="H10" s="8" t="s">
        <v>54</v>
      </c>
    </row>
    <row r="11" ht="30.75" customHeight="1">
      <c r="A11" s="7" t="s">
        <v>18</v>
      </c>
      <c r="B11" s="6" t="s">
        <v>85</v>
      </c>
      <c r="C11" s="6" t="s">
        <v>86</v>
      </c>
      <c r="D11" s="6" t="s">
        <v>87</v>
      </c>
      <c r="E11" s="6" t="s">
        <v>88</v>
      </c>
      <c r="F11" s="6" t="s">
        <v>26</v>
      </c>
      <c r="G11" s="6" t="s">
        <v>89</v>
      </c>
      <c r="H11" s="8" t="s">
        <v>54</v>
      </c>
    </row>
    <row r="12" ht="30.75" customHeight="1">
      <c r="A12" s="7" t="s">
        <v>34</v>
      </c>
      <c r="B12" s="6" t="s">
        <v>85</v>
      </c>
      <c r="C12" s="6" t="s">
        <v>90</v>
      </c>
      <c r="D12" s="6" t="s">
        <v>91</v>
      </c>
      <c r="E12" s="6" t="s">
        <v>92</v>
      </c>
      <c r="F12" s="6" t="s">
        <v>35</v>
      </c>
      <c r="G12" s="6" t="s">
        <v>93</v>
      </c>
      <c r="H12" s="8" t="s">
        <v>54</v>
      </c>
    </row>
    <row r="13" ht="30.75" customHeight="1">
      <c r="A13" s="7" t="s">
        <v>31</v>
      </c>
      <c r="B13" s="6" t="s">
        <v>85</v>
      </c>
      <c r="C13" s="6" t="s">
        <v>94</v>
      </c>
      <c r="D13" s="6" t="s">
        <v>91</v>
      </c>
      <c r="E13" s="6" t="s">
        <v>95</v>
      </c>
      <c r="F13" s="6" t="s">
        <v>40</v>
      </c>
      <c r="G13" s="6" t="s">
        <v>93</v>
      </c>
      <c r="H13" s="8" t="s">
        <v>54</v>
      </c>
    </row>
    <row r="15" ht="48.0" customHeight="1">
      <c r="A1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:H15"/>
  </mergeCells>
  <conditionalFormatting sqref="H5:H13">
    <cfRule type="cellIs" dxfId="0" priority="1" operator="equal">
      <formula>"Pass"</formula>
    </cfRule>
  </conditionalFormatting>
  <conditionalFormatting sqref="H5:H13">
    <cfRule type="cellIs" dxfId="1" priority="2" operator="equal">
      <formula>"Fail"</formula>
    </cfRule>
  </conditionalFormatting>
  <dataValidations>
    <dataValidation type="list" allowBlank="1" sqref="H5:H13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1" t="s">
        <v>0</v>
      </c>
    </row>
    <row r="3" ht="30.0" customHeight="1">
      <c r="A3" s="4" t="s">
        <v>3</v>
      </c>
      <c r="B3" s="4" t="s">
        <v>7</v>
      </c>
    </row>
    <row r="4">
      <c r="A4" s="5" t="s">
        <v>8</v>
      </c>
      <c r="B4" s="9">
        <f>COUNTA('Test Cases'!$A$5:$A$13)</f>
        <v>9</v>
      </c>
    </row>
    <row r="5">
      <c r="A5" s="5" t="s">
        <v>60</v>
      </c>
      <c r="B5" s="9">
        <f>COUNTIF('Test Cases'!$H$5:$H$13,"Pass")</f>
        <v>9</v>
      </c>
    </row>
    <row r="6">
      <c r="A6" s="5" t="s">
        <v>96</v>
      </c>
      <c r="B6" s="9">
        <f>COUNTIF('Test Cases'!$H$5:$H$13,"Fail")</f>
        <v>0</v>
      </c>
    </row>
    <row r="7">
      <c r="A7" s="5" t="s">
        <v>97</v>
      </c>
      <c r="B7" s="9">
        <f>COUNTIF('Test Cases'!$H$5:$H$13,"Blocked")</f>
        <v>0</v>
      </c>
    </row>
    <row r="8">
      <c r="A8" s="5" t="s">
        <v>98</v>
      </c>
      <c r="B8" s="9">
        <f>B4-B5-B6-B7</f>
        <v>0</v>
      </c>
    </row>
    <row r="9">
      <c r="A9" s="5" t="s">
        <v>99</v>
      </c>
      <c r="B9" s="11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3" width="22.0"/>
    <col customWidth="1" min="4" max="4" width="20.0"/>
    <col customWidth="1" min="5" max="5" width="24.0"/>
    <col customWidth="1" min="6" max="26" width="8.71"/>
  </cols>
  <sheetData>
    <row r="1">
      <c r="A1" s="1" t="s">
        <v>5</v>
      </c>
    </row>
    <row r="3" ht="30.0" customHeight="1">
      <c r="A3" s="4" t="s">
        <v>10</v>
      </c>
      <c r="B3" s="4" t="s">
        <v>11</v>
      </c>
      <c r="C3" s="4" t="s">
        <v>13</v>
      </c>
      <c r="D3" s="4" t="s">
        <v>14</v>
      </c>
      <c r="E3" s="4" t="s">
        <v>16</v>
      </c>
    </row>
    <row r="4" ht="18.0" customHeight="1">
      <c r="A4" s="6" t="s">
        <v>18</v>
      </c>
      <c r="B4" s="6" t="s">
        <v>26</v>
      </c>
      <c r="C4" s="6" t="s">
        <v>28</v>
      </c>
      <c r="D4" s="6" t="s">
        <v>30</v>
      </c>
      <c r="E4" s="6" t="s">
        <v>32</v>
      </c>
    </row>
    <row r="5" ht="18.0" customHeight="1">
      <c r="A5" s="6" t="s">
        <v>34</v>
      </c>
      <c r="B5" s="6" t="s">
        <v>35</v>
      </c>
      <c r="C5" s="6" t="s">
        <v>37</v>
      </c>
      <c r="D5" s="6" t="s">
        <v>38</v>
      </c>
      <c r="E5" s="6" t="s">
        <v>39</v>
      </c>
    </row>
    <row r="6" ht="18.0" customHeight="1">
      <c r="A6" s="6" t="s">
        <v>31</v>
      </c>
      <c r="B6" s="6" t="s">
        <v>40</v>
      </c>
      <c r="C6" s="6" t="s">
        <v>37</v>
      </c>
      <c r="D6" s="6" t="s">
        <v>38</v>
      </c>
      <c r="E6" s="6" t="s">
        <v>39</v>
      </c>
    </row>
    <row r="7" ht="18.0" customHeight="1">
      <c r="A7" s="6" t="s">
        <v>42</v>
      </c>
      <c r="B7" s="6" t="s">
        <v>44</v>
      </c>
      <c r="C7" s="6" t="s">
        <v>45</v>
      </c>
      <c r="D7" s="6" t="s">
        <v>46</v>
      </c>
      <c r="E7" s="6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46.0"/>
    <col customWidth="1" min="3" max="3" width="34.0"/>
    <col customWidth="1" min="4" max="4" width="12.0"/>
    <col customWidth="1" min="5" max="26" width="8.71"/>
  </cols>
  <sheetData>
    <row r="1">
      <c r="A1" s="1" t="s">
        <v>6</v>
      </c>
    </row>
    <row r="3" ht="30.0" customHeight="1">
      <c r="A3" s="4" t="s">
        <v>9</v>
      </c>
      <c r="B3" s="4" t="s">
        <v>12</v>
      </c>
      <c r="C3" s="4" t="s">
        <v>15</v>
      </c>
      <c r="D3" s="4" t="s">
        <v>17</v>
      </c>
    </row>
    <row r="4" ht="18.0" customHeight="1">
      <c r="A4" s="6">
        <v>1.0</v>
      </c>
      <c r="B4" s="6" t="s">
        <v>27</v>
      </c>
      <c r="C4" s="6" t="s">
        <v>29</v>
      </c>
      <c r="D4" s="6" t="s">
        <v>31</v>
      </c>
    </row>
    <row r="5" ht="18.0" customHeight="1">
      <c r="A5" s="6">
        <v>2.0</v>
      </c>
      <c r="B5" s="6" t="s">
        <v>36</v>
      </c>
      <c r="C5" s="6" t="s">
        <v>29</v>
      </c>
      <c r="D5" s="6" t="s">
        <v>34</v>
      </c>
    </row>
    <row r="6" ht="18.0" customHeight="1">
      <c r="A6" s="6">
        <v>3.0</v>
      </c>
      <c r="B6" s="6" t="s">
        <v>41</v>
      </c>
      <c r="C6" s="6" t="s">
        <v>43</v>
      </c>
      <c r="D6" s="6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2026-10-22T12:56:17Z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