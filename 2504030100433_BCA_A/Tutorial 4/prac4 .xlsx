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HNjWVgmJTR7VwJcly0FzY6k33mYTNq8CtzKCxf1ziy8="/>
    </ext>
  </extLst>
</workbook>
</file>

<file path=xl/sharedStrings.xml><?xml version="1.0" encoding="utf-8"?>
<sst xmlns="http://schemas.openxmlformats.org/spreadsheetml/2006/main" count="99" uniqueCount="73">
  <si>
    <t>Tutorial 4 - Functional &amp; Non-Functional Testing  |  Website: Automation Exercise  (https://automationexercise.com)</t>
  </si>
  <si>
    <t>Tester: Kothari Mann Jitendrakumar  |   Enrollment No: 2504030100433</t>
  </si>
  <si>
    <t>TC ID</t>
  </si>
  <si>
    <t>Test Scenario</t>
  </si>
  <si>
    <t>Test Case</t>
  </si>
  <si>
    <t>Preconditions</t>
  </si>
  <si>
    <t>Test Steps</t>
  </si>
  <si>
    <t>Test Data</t>
  </si>
  <si>
    <t>Expected Result</t>
  </si>
  <si>
    <t>Status (after execution)</t>
  </si>
  <si>
    <t>TC01</t>
  </si>
  <si>
    <t>Functional</t>
  </si>
  <si>
    <t>Verify valid login</t>
  </si>
  <si>
    <t>Registered account exists (from Tutorial 2)</t>
  </si>
  <si>
    <t>1. Open https://automationexercise.com
2. Click 'Signup / Login'
3. Enter valid email and password
4. Click Login</t>
  </si>
  <si>
    <t>Email: &lt;registered email&gt;; Password: Test@1234</t>
  </si>
  <si>
    <t>User logs in and 'Logged in as &lt;name&gt;' is shown</t>
  </si>
  <si>
    <t>Pass</t>
  </si>
  <si>
    <t>TC02</t>
  </si>
  <si>
    <t>Verify login with an invalid email</t>
  </si>
  <si>
    <t>Login page is open</t>
  </si>
  <si>
    <t>1. Enter unregistered email
2. Enter any password
3. Click Login</t>
  </si>
  <si>
    <t>Email: wrong.user@example.com; Password: Test@1234</t>
  </si>
  <si>
    <t>Error 'Your email or password is incorrect!' is displayed</t>
  </si>
  <si>
    <t>TC03</t>
  </si>
  <si>
    <t>Verify login with an invalid password</t>
  </si>
  <si>
    <t>Registered account exists</t>
  </si>
  <si>
    <t>1. Enter registered email
2. Enter wrong password
3. Click Login</t>
  </si>
  <si>
    <t>Email: &lt;registered email&gt;; Password: Wrong@123</t>
  </si>
  <si>
    <t>TC04</t>
  </si>
  <si>
    <t>Verify login when both email and password are invalid</t>
  </si>
  <si>
    <t>1. Enter unregistered email
2. Enter wrong password
3. Click Login</t>
  </si>
  <si>
    <t>Email: abc@xyz.com; Password: 12345</t>
  </si>
  <si>
    <t>TC05</t>
  </si>
  <si>
    <t>Verify login with a blank email</t>
  </si>
  <si>
    <t>1. Leave email blank
2. Enter password
3. Click Login</t>
  </si>
  <si>
    <t>Email: (blank); Password: Test@1234</t>
  </si>
  <si>
    <t>Validation message 'Please fill out this field.' is shown; login blocked</t>
  </si>
  <si>
    <t>TC06</t>
  </si>
  <si>
    <t>Verify login with a blank password</t>
  </si>
  <si>
    <t>1. Enter email
2. Leave password blank
3. Click Login</t>
  </si>
  <si>
    <t>Email: &lt;registered email&gt;; Password: (blank)</t>
  </si>
  <si>
    <t>TC07</t>
  </si>
  <si>
    <t>Verify login with both fields blank</t>
  </si>
  <si>
    <t>1. Leave both fields blank
2. Click Login</t>
  </si>
  <si>
    <t>Email: (blank); Password: (blank)</t>
  </si>
  <si>
    <t>Validation message is shown on the first empty field; login blocked</t>
  </si>
  <si>
    <t>TC08</t>
  </si>
  <si>
    <t>Non-Functional</t>
  </si>
  <si>
    <t>Verify browser compatibility</t>
  </si>
  <si>
    <t>Chrome and a second browser (Edge/Firefox) installed</t>
  </si>
  <si>
    <t>1. Open the login page in Chrome
2. Open the same page in Edge or Firefox
3. Perform a valid login in both</t>
  </si>
  <si>
    <t>Browsers: Chrome, Edge/Firefox</t>
  </si>
  <si>
    <t>Login page and login work the same in both browsers</t>
  </si>
  <si>
    <t>TC09</t>
  </si>
  <si>
    <t>Verify usability of the login page</t>
  </si>
  <si>
    <t>1. Check labels, placeholder text and error message clarity
2. Check that Tab key moves through the fields in order</t>
  </si>
  <si>
    <t>Browsers: Chrome</t>
  </si>
  <si>
    <t>Fields are clearly labelled, messages are clear and the Tab order is logical</t>
  </si>
  <si>
    <t>TC10</t>
  </si>
  <si>
    <t>Verify page layout of the login page</t>
  </si>
  <si>
    <t>1. Check alignment of the forms and buttons
2. Resize the browser window to a smaller width</t>
  </si>
  <si>
    <t>Window width: full and ~500 px</t>
  </si>
  <si>
    <t>Elements are aligned, nothing overlaps and the layout adapts to the smaller window</t>
  </si>
  <si>
    <t>Test Execution Summary</t>
  </si>
  <si>
    <t>Metric</t>
  </si>
  <si>
    <t>Value</t>
  </si>
  <si>
    <t>Total Test Cases</t>
  </si>
  <si>
    <t>Passed</t>
  </si>
  <si>
    <t>Failed</t>
  </si>
  <si>
    <t>Blocked</t>
  </si>
  <si>
    <t>Not Executed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</si>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</sst>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1" t="s">
        <v>0</v>
      </c>
    </row>
    <row r="2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57.75" customHeight="1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ht="44.25" customHeight="1">
      <c r="A6" s="4" t="s">
        <v>18</v>
      </c>
      <c r="B6" s="5" t="s">
        <v>11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6" t="s">
        <v>17</v>
      </c>
    </row>
    <row r="7" ht="44.25" customHeight="1">
      <c r="A7" s="4" t="s">
        <v>24</v>
      </c>
      <c r="B7" s="5" t="s">
        <v>11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23</v>
      </c>
      <c r="H7" s="6" t="s">
        <v>17</v>
      </c>
    </row>
    <row r="8" ht="44.25" customHeight="1">
      <c r="A8" s="4" t="s">
        <v>29</v>
      </c>
      <c r="B8" s="5" t="s">
        <v>11</v>
      </c>
      <c r="C8" s="5" t="s">
        <v>30</v>
      </c>
      <c r="D8" s="5" t="s">
        <v>20</v>
      </c>
      <c r="E8" s="5" t="s">
        <v>31</v>
      </c>
      <c r="F8" s="5" t="s">
        <v>32</v>
      </c>
      <c r="G8" s="5" t="s">
        <v>23</v>
      </c>
      <c r="H8" s="6" t="s">
        <v>17</v>
      </c>
    </row>
    <row r="9" ht="44.25" customHeight="1">
      <c r="A9" s="4" t="s">
        <v>33</v>
      </c>
      <c r="B9" s="5" t="s">
        <v>11</v>
      </c>
      <c r="C9" s="5" t="s">
        <v>34</v>
      </c>
      <c r="D9" s="5" t="s">
        <v>20</v>
      </c>
      <c r="E9" s="5" t="s">
        <v>35</v>
      </c>
      <c r="F9" s="5" t="s">
        <v>36</v>
      </c>
      <c r="G9" s="5" t="s">
        <v>37</v>
      </c>
      <c r="H9" s="6" t="s">
        <v>17</v>
      </c>
    </row>
    <row r="10" ht="44.25" customHeight="1">
      <c r="A10" s="4" t="s">
        <v>38</v>
      </c>
      <c r="B10" s="5" t="s">
        <v>11</v>
      </c>
      <c r="C10" s="5" t="s">
        <v>39</v>
      </c>
      <c r="D10" s="5" t="s">
        <v>20</v>
      </c>
      <c r="E10" s="5" t="s">
        <v>40</v>
      </c>
      <c r="F10" s="5" t="s">
        <v>41</v>
      </c>
      <c r="G10" s="5" t="s">
        <v>37</v>
      </c>
      <c r="H10" s="6" t="s">
        <v>17</v>
      </c>
    </row>
    <row r="11" ht="30.75" customHeight="1">
      <c r="A11" s="4" t="s">
        <v>42</v>
      </c>
      <c r="B11" s="5" t="s">
        <v>11</v>
      </c>
      <c r="C11" s="5" t="s">
        <v>43</v>
      </c>
      <c r="D11" s="5" t="s">
        <v>20</v>
      </c>
      <c r="E11" s="5" t="s">
        <v>44</v>
      </c>
      <c r="F11" s="5" t="s">
        <v>45</v>
      </c>
      <c r="G11" s="5" t="s">
        <v>46</v>
      </c>
      <c r="H11" s="6" t="s">
        <v>17</v>
      </c>
    </row>
    <row r="12" ht="44.25" customHeight="1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7" t="s">
        <v>17</v>
      </c>
    </row>
    <row r="13" ht="44.25" customHeight="1">
      <c r="A13" s="4" t="s">
        <v>54</v>
      </c>
      <c r="B13" s="5" t="s">
        <v>48</v>
      </c>
      <c r="C13" s="5" t="s">
        <v>55</v>
      </c>
      <c r="D13" s="5" t="s">
        <v>20</v>
      </c>
      <c r="E13" s="5" t="s">
        <v>56</v>
      </c>
      <c r="F13" s="8" t="s">
        <v>57</v>
      </c>
      <c r="G13" s="5" t="s">
        <v>58</v>
      </c>
      <c r="H13" s="7" t="s">
        <v>17</v>
      </c>
    </row>
    <row r="14" ht="30.75" customHeight="1">
      <c r="A14" s="4" t="s">
        <v>59</v>
      </c>
      <c r="B14" s="5" t="s">
        <v>48</v>
      </c>
      <c r="C14" s="5" t="s">
        <v>60</v>
      </c>
      <c r="D14" s="5" t="s">
        <v>20</v>
      </c>
      <c r="E14" s="5" t="s">
        <v>61</v>
      </c>
      <c r="F14" s="5" t="s">
        <v>62</v>
      </c>
      <c r="G14" s="5" t="s">
        <v>63</v>
      </c>
      <c r="H14" s="7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14">
    <cfRule type="cellIs" dxfId="0" priority="1" operator="equal">
      <formula>"Pass"</formula>
    </cfRule>
  </conditionalFormatting>
  <conditionalFormatting sqref="H5:H14">
    <cfRule type="cellIs" dxfId="1" priority="2" operator="equal">
      <formula>"Fail"</formula>
    </cfRule>
  </conditionalFormatting>
  <dataValidations>
    <dataValidation type="list" allowBlank="1" sqref="H5:H14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9" t="s">
        <v>64</v>
      </c>
    </row>
    <row r="3" ht="30.0" customHeight="1">
      <c r="A3" s="3" t="s">
        <v>65</v>
      </c>
      <c r="B3" s="3" t="s">
        <v>66</v>
      </c>
    </row>
    <row r="4">
      <c r="A4" s="10" t="s">
        <v>67</v>
      </c>
      <c r="B4" s="11">
        <f>COUNTA('Test Cases'!$A$5:$A$14)</f>
        <v>10</v>
      </c>
    </row>
    <row r="5">
      <c r="A5" s="10" t="s">
        <v>68</v>
      </c>
      <c r="B5" s="11">
        <f>COUNTIF('Test Cases'!$H$5:$H$14,"Pass")</f>
        <v>10</v>
      </c>
    </row>
    <row r="6">
      <c r="A6" s="10" t="s">
        <v>69</v>
      </c>
      <c r="B6" s="11">
        <f>COUNTIF('Test Cases'!$H$5:$H$14,"Fail")</f>
        <v>0</v>
      </c>
    </row>
    <row r="7">
      <c r="A7" s="10" t="s">
        <v>70</v>
      </c>
      <c r="B7" s="11">
        <f>COUNTIF('Test Cases'!$H$5:$H$14,"Blocked")</f>
        <v>0</v>
      </c>
    </row>
    <row r="8">
      <c r="A8" s="10" t="s">
        <v>71</v>
      </c>
      <c r="B8" s="11">
        <f>B4-B5-B6-B7</f>
        <v>0</v>
      </c>
    </row>
    <row r="9">
      <c r="A9" s="10" t="s">
        <v>72</v>
      </c>
      <c r="B9" s="12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