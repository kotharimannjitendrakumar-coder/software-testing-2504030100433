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Bug Report (template)" sheetId="3" r:id="rId6"/>
    <sheet state="visible" name="Defect Hunting Tips" sheetId="4" r:id="rId7"/>
  </sheets>
  <definedNames/>
  <calcPr/>
  <extLst>
    <ext uri="GoogleSheetsCustomDataVersion2">
      <go:sheetsCustomData xmlns:go="http://customooxmlschemas.google.com/" r:id="rId8" roundtripDataChecksum="NnG1qkJs4MKyvmjWGHFOlj+caKEUTQWzKUgp4utHdj0="/>
    </ext>
  </extLst>
</workbook>
</file>

<file path=xl/sharedStrings.xml><?xml version="1.0" encoding="utf-8"?>
<sst xmlns="http://schemas.openxmlformats.org/spreadsheetml/2006/main" count="141" uniqueCount="119">
  <si>
    <t>Tutorial 5 - Defect Reporting  |  Website: SauceDemo  (https://www.saucedemo.com)</t>
  </si>
  <si>
    <t>Test Execution Summary</t>
  </si>
  <si>
    <t>Tester: Kothari Mann Jitendrakumar  |   Enrollment No: 2504030100433</t>
  </si>
  <si>
    <t>Bug Report Template - complete ONLY if you actually observe a defect</t>
  </si>
  <si>
    <t>TC ID</t>
  </si>
  <si>
    <t>Metric</t>
  </si>
  <si>
    <t>Field</t>
  </si>
  <si>
    <t>Where to look for real defects (report only what you see)</t>
  </si>
  <si>
    <t>Test Scenario</t>
  </si>
  <si>
    <t>Details</t>
  </si>
  <si>
    <t>Test Case</t>
  </si>
  <si>
    <t>Preconditions</t>
  </si>
  <si>
    <t>Idea</t>
  </si>
  <si>
    <t>Value</t>
  </si>
  <si>
    <t>Test Steps</t>
  </si>
  <si>
    <t>Bug ID</t>
  </si>
  <si>
    <t>Test Data</t>
  </si>
  <si>
    <t>What to check</t>
  </si>
  <si>
    <t>Expected Result</t>
  </si>
  <si>
    <t>Status (after execution)</t>
  </si>
  <si>
    <t>Total Test Cases</t>
  </si>
  <si>
    <t>Log in as problem_user</t>
  </si>
  <si>
    <t>BUG-001</t>
  </si>
  <si>
    <t>TC01</t>
  </si>
  <si>
    <t>Compare product images, sorting, add/remove buttons and the checkout form with standard_user</t>
  </si>
  <si>
    <t>Bug Title</t>
  </si>
  <si>
    <t>[write the defect title]</t>
  </si>
  <si>
    <t>Log in as error_user</t>
  </si>
  <si>
    <t>Module Name</t>
  </si>
  <si>
    <t>Login</t>
  </si>
  <si>
    <t>Check add-to-cart, sorting and checkout behaviour for errors</t>
  </si>
  <si>
    <t>[module]</t>
  </si>
  <si>
    <t>Severity</t>
  </si>
  <si>
    <t>Verify login with valid credentials</t>
  </si>
  <si>
    <t>Log in as performance_glitch_user</t>
  </si>
  <si>
    <t>[Critical / High / Medium / Low]</t>
  </si>
  <si>
    <t>Login page is open</t>
  </si>
  <si>
    <t>Priority</t>
  </si>
  <si>
    <t>Note whether login/page load is slower than for standard_user</t>
  </si>
  <si>
    <t>[High / Medium / Low]</t>
  </si>
  <si>
    <t>1. Open https://www.saucedemo.com
2. Enter username standard_user
3. Enter password secret_sauce
4. Click Login</t>
  </si>
  <si>
    <t>Environment</t>
  </si>
  <si>
    <t>Log in as visual_user</t>
  </si>
  <si>
    <t>standard_user / secret_sauce</t>
  </si>
  <si>
    <t>Windows 10/11, Google Chrome, https://www.saucedemo.com</t>
  </si>
  <si>
    <t>Check layout and alignment differences</t>
  </si>
  <si>
    <t>Products page opens</t>
  </si>
  <si>
    <t>Steps to Reproduce</t>
  </si>
  <si>
    <t>Rule</t>
  </si>
  <si>
    <t>1. ...  2. ...  3. ...</t>
  </si>
  <si>
    <t>If everything behaves as expected, write 'No defect found' - do not invent a bug.</t>
  </si>
  <si>
    <t>[what should happen]</t>
  </si>
  <si>
    <t>Actual Result</t>
  </si>
  <si>
    <t>[what actually happened]</t>
  </si>
  <si>
    <t>Screenshot</t>
  </si>
  <si>
    <t>[paste screenshot in the Word report]</t>
  </si>
  <si>
    <t>Status</t>
  </si>
  <si>
    <t>New</t>
  </si>
  <si>
    <t>Reported By</t>
  </si>
  <si>
    <t>[Your Name]</t>
  </si>
  <si>
    <t>Date Reported</t>
  </si>
  <si>
    <t>[DD/MM/YYYY]</t>
  </si>
  <si>
    <t>Pass</t>
  </si>
  <si>
    <t>TC02</t>
  </si>
  <si>
    <t>Verify login with invalid credentials</t>
  </si>
  <si>
    <t>1. Enter username standard_user
2. Enter password wrong_pass
3. Click Login</t>
  </si>
  <si>
    <t>standard_user / wrong_pass</t>
  </si>
  <si>
    <t>Error 'Epic sadface: Username and password do not match any user in this service' is displayed</t>
  </si>
  <si>
    <t>TC03</t>
  </si>
  <si>
    <t>Product display</t>
  </si>
  <si>
    <t>Verify products are displayed correctly</t>
  </si>
  <si>
    <t>User is logged in</t>
  </si>
  <si>
    <t>1. Observe the product list
2. Check name, description, price and image of each product</t>
  </si>
  <si>
    <t>6 products</t>
  </si>
  <si>
    <t>Six products are listed, each with its own image, name, description and price</t>
  </si>
  <si>
    <t>TC04</t>
  </si>
  <si>
    <t>Cart</t>
  </si>
  <si>
    <t>Verify a product can be added to the cart</t>
  </si>
  <si>
    <t>1. Click 'Add to cart' on Sauce Labs Backpack</t>
  </si>
  <si>
    <t>Sauce Labs Backpack</t>
  </si>
  <si>
    <t>Button changes to 'Remove' and the cart badge shows 1</t>
  </si>
  <si>
    <t>Passed</t>
  </si>
  <si>
    <t>TC05</t>
  </si>
  <si>
    <t>Verify a product can be removed from the cart</t>
  </si>
  <si>
    <t>Backpack is added to cart</t>
  </si>
  <si>
    <t>1. Click 'Remove' on Sauce Labs Backpack</t>
  </si>
  <si>
    <t>Button changes back to 'Add to cart' and the cart badge disappears</t>
  </si>
  <si>
    <t>TC06</t>
  </si>
  <si>
    <t>Verify the cart page</t>
  </si>
  <si>
    <t>1. Click the cart icon</t>
  </si>
  <si>
    <t>Cart lists the product with quantity 1 and its price</t>
  </si>
  <si>
    <t>TC07</t>
  </si>
  <si>
    <t>Checkout</t>
  </si>
  <si>
    <t>Verify checkout with valid information</t>
  </si>
  <si>
    <t>Product is in the cart</t>
  </si>
  <si>
    <t>1. Click Checkout
2. Enter first name, last name and postal code
3. Click Continue</t>
  </si>
  <si>
    <t>Test / User / 380001</t>
  </si>
  <si>
    <t>Failed</t>
  </si>
  <si>
    <t>Checkout: Overview page shows item, payment info, item total, tax and total</t>
  </si>
  <si>
    <t>TC08</t>
  </si>
  <si>
    <t>Verify checkout with blank information</t>
  </si>
  <si>
    <t>Checkout page is open</t>
  </si>
  <si>
    <t>1. Leave all fields blank
2. Click Continue</t>
  </si>
  <si>
    <t>(blank)</t>
  </si>
  <si>
    <t>Error 'Error: First Name is required' is displayed</t>
  </si>
  <si>
    <t>TC09</t>
  </si>
  <si>
    <t>Verify the order can be completed</t>
  </si>
  <si>
    <t>Checkout overview is displayed</t>
  </si>
  <si>
    <t>1. Click Finish</t>
  </si>
  <si>
    <t>-</t>
  </si>
  <si>
    <t>'Thank you for your order!' confirmation is displayed</t>
  </si>
  <si>
    <t>Blocked</t>
  </si>
  <si>
    <t>TC10</t>
  </si>
  <si>
    <t>Logout</t>
  </si>
  <si>
    <t>Verify logout</t>
  </si>
  <si>
    <t>1. Click the menu (burger) button
2. Click Logout</t>
  </si>
  <si>
    <t>User is returned to the login page</t>
  </si>
  <si>
    <t>Not Executed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</si>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</sst>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0</v>
      </c>
    </row>
    <row r="2">
      <c r="A2" s="3" t="s">
        <v>2</v>
      </c>
    </row>
    <row r="4" ht="30.0" customHeight="1">
      <c r="A4" s="4" t="s">
        <v>4</v>
      </c>
      <c r="B4" s="4" t="s">
        <v>8</v>
      </c>
      <c r="C4" s="4" t="s">
        <v>10</v>
      </c>
      <c r="D4" s="4" t="s">
        <v>11</v>
      </c>
      <c r="E4" s="4" t="s">
        <v>14</v>
      </c>
      <c r="F4" s="4" t="s">
        <v>16</v>
      </c>
      <c r="G4" s="4" t="s">
        <v>18</v>
      </c>
      <c r="H4" s="4" t="s">
        <v>19</v>
      </c>
    </row>
    <row r="5" ht="57.75" customHeight="1">
      <c r="A5" s="6" t="s">
        <v>23</v>
      </c>
      <c r="B5" s="5" t="s">
        <v>29</v>
      </c>
      <c r="C5" s="5" t="s">
        <v>33</v>
      </c>
      <c r="D5" s="5" t="s">
        <v>36</v>
      </c>
      <c r="E5" s="5" t="s">
        <v>40</v>
      </c>
      <c r="F5" s="5" t="s">
        <v>43</v>
      </c>
      <c r="G5" s="5" t="s">
        <v>46</v>
      </c>
      <c r="H5" s="8" t="s">
        <v>62</v>
      </c>
    </row>
    <row r="6" ht="44.25" customHeight="1">
      <c r="A6" s="6" t="s">
        <v>63</v>
      </c>
      <c r="B6" s="5" t="s">
        <v>29</v>
      </c>
      <c r="C6" s="5" t="s">
        <v>64</v>
      </c>
      <c r="D6" s="5" t="s">
        <v>36</v>
      </c>
      <c r="E6" s="5" t="s">
        <v>65</v>
      </c>
      <c r="F6" s="5" t="s">
        <v>66</v>
      </c>
      <c r="G6" s="5" t="s">
        <v>67</v>
      </c>
      <c r="H6" s="8" t="s">
        <v>62</v>
      </c>
    </row>
    <row r="7" ht="44.25" customHeight="1">
      <c r="A7" s="6" t="s">
        <v>68</v>
      </c>
      <c r="B7" s="5" t="s">
        <v>69</v>
      </c>
      <c r="C7" s="5" t="s">
        <v>70</v>
      </c>
      <c r="D7" s="5" t="s">
        <v>71</v>
      </c>
      <c r="E7" s="5" t="s">
        <v>72</v>
      </c>
      <c r="F7" s="5" t="s">
        <v>73</v>
      </c>
      <c r="G7" s="5" t="s">
        <v>74</v>
      </c>
      <c r="H7" s="8" t="s">
        <v>62</v>
      </c>
    </row>
    <row r="8" ht="30.75" customHeight="1">
      <c r="A8" s="6" t="s">
        <v>75</v>
      </c>
      <c r="B8" s="5" t="s">
        <v>76</v>
      </c>
      <c r="C8" s="5" t="s">
        <v>77</v>
      </c>
      <c r="D8" s="5" t="s">
        <v>71</v>
      </c>
      <c r="E8" s="5" t="s">
        <v>78</v>
      </c>
      <c r="F8" s="5" t="s">
        <v>79</v>
      </c>
      <c r="G8" s="5" t="s">
        <v>80</v>
      </c>
      <c r="H8" s="8" t="s">
        <v>62</v>
      </c>
    </row>
    <row r="9" ht="30.75" customHeight="1">
      <c r="A9" s="6" t="s">
        <v>82</v>
      </c>
      <c r="B9" s="5" t="s">
        <v>76</v>
      </c>
      <c r="C9" s="5" t="s">
        <v>83</v>
      </c>
      <c r="D9" s="5" t="s">
        <v>84</v>
      </c>
      <c r="E9" s="5" t="s">
        <v>85</v>
      </c>
      <c r="F9" s="5" t="s">
        <v>79</v>
      </c>
      <c r="G9" s="5" t="s">
        <v>86</v>
      </c>
      <c r="H9" s="8" t="s">
        <v>62</v>
      </c>
    </row>
    <row r="10" ht="30.75" customHeight="1">
      <c r="A10" s="6" t="s">
        <v>87</v>
      </c>
      <c r="B10" s="5" t="s">
        <v>76</v>
      </c>
      <c r="C10" s="5" t="s">
        <v>88</v>
      </c>
      <c r="D10" s="5" t="s">
        <v>84</v>
      </c>
      <c r="E10" s="5" t="s">
        <v>89</v>
      </c>
      <c r="F10" s="5" t="s">
        <v>79</v>
      </c>
      <c r="G10" s="5" t="s">
        <v>90</v>
      </c>
      <c r="H10" s="8" t="s">
        <v>62</v>
      </c>
    </row>
    <row r="11" ht="44.25" customHeight="1">
      <c r="A11" s="6" t="s">
        <v>91</v>
      </c>
      <c r="B11" s="5" t="s">
        <v>92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98</v>
      </c>
      <c r="H11" s="8" t="s">
        <v>62</v>
      </c>
    </row>
    <row r="12" ht="30.75" customHeight="1">
      <c r="A12" s="6" t="s">
        <v>99</v>
      </c>
      <c r="B12" s="5" t="s">
        <v>92</v>
      </c>
      <c r="C12" s="5" t="s">
        <v>100</v>
      </c>
      <c r="D12" s="5" t="s">
        <v>101</v>
      </c>
      <c r="E12" s="5" t="s">
        <v>102</v>
      </c>
      <c r="F12" s="5" t="s">
        <v>103</v>
      </c>
      <c r="G12" s="5" t="s">
        <v>104</v>
      </c>
      <c r="H12" s="8" t="s">
        <v>62</v>
      </c>
    </row>
    <row r="13" ht="30.75" customHeight="1">
      <c r="A13" s="6" t="s">
        <v>105</v>
      </c>
      <c r="B13" s="5" t="s">
        <v>92</v>
      </c>
      <c r="C13" s="5" t="s">
        <v>106</v>
      </c>
      <c r="D13" s="5" t="s">
        <v>107</v>
      </c>
      <c r="E13" s="5" t="s">
        <v>108</v>
      </c>
      <c r="F13" s="5" t="s">
        <v>109</v>
      </c>
      <c r="G13" s="5" t="s">
        <v>110</v>
      </c>
      <c r="H13" s="8" t="s">
        <v>62</v>
      </c>
    </row>
    <row r="14" ht="30.75" customHeight="1">
      <c r="A14" s="6" t="s">
        <v>112</v>
      </c>
      <c r="B14" s="5" t="s">
        <v>113</v>
      </c>
      <c r="C14" s="5" t="s">
        <v>114</v>
      </c>
      <c r="D14" s="5" t="s">
        <v>71</v>
      </c>
      <c r="E14" s="5" t="s">
        <v>115</v>
      </c>
      <c r="F14" s="5" t="s">
        <v>109</v>
      </c>
      <c r="G14" s="5" t="s">
        <v>116</v>
      </c>
      <c r="H14" s="8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14">
    <cfRule type="cellIs" dxfId="0" priority="1" operator="equal">
      <formula>"Pass"</formula>
    </cfRule>
  </conditionalFormatting>
  <conditionalFormatting sqref="H5:H14">
    <cfRule type="cellIs" dxfId="1" priority="2" operator="equal">
      <formula>"Fail"</formula>
    </cfRule>
  </conditionalFormatting>
  <dataValidations>
    <dataValidation type="list" allowBlank="1" sqref="H5:H14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2" t="s">
        <v>1</v>
      </c>
    </row>
    <row r="3" ht="30.0" customHeight="1">
      <c r="A3" s="4" t="s">
        <v>5</v>
      </c>
      <c r="B3" s="4" t="s">
        <v>13</v>
      </c>
    </row>
    <row r="4">
      <c r="A4" s="7" t="s">
        <v>20</v>
      </c>
      <c r="B4" s="9">
        <f>COUNTA('Test Cases'!$A$5:$A$14)</f>
        <v>10</v>
      </c>
    </row>
    <row r="5">
      <c r="A5" s="7" t="s">
        <v>81</v>
      </c>
      <c r="B5" s="9">
        <f>COUNTIF('Test Cases'!$H$5:$H$14,"Pass")</f>
        <v>10</v>
      </c>
    </row>
    <row r="6">
      <c r="A6" s="7" t="s">
        <v>97</v>
      </c>
      <c r="B6" s="9">
        <f>COUNTIF('Test Cases'!$H$5:$H$14,"Fail")</f>
        <v>0</v>
      </c>
    </row>
    <row r="7">
      <c r="A7" s="7" t="s">
        <v>111</v>
      </c>
      <c r="B7" s="9">
        <f>COUNTIF('Test Cases'!$H$5:$H$14,"Blocked")</f>
        <v>0</v>
      </c>
    </row>
    <row r="8">
      <c r="A8" s="7" t="s">
        <v>117</v>
      </c>
      <c r="B8" s="9">
        <f>B4-B5-B6-B7</f>
        <v>0</v>
      </c>
    </row>
    <row r="9">
      <c r="A9" s="7" t="s">
        <v>118</v>
      </c>
      <c r="B9" s="10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90.0"/>
    <col customWidth="1" min="3" max="26" width="8.71"/>
  </cols>
  <sheetData>
    <row r="1">
      <c r="A1" s="2" t="s">
        <v>3</v>
      </c>
    </row>
    <row r="3" ht="30.0" customHeight="1">
      <c r="A3" s="4" t="s">
        <v>6</v>
      </c>
      <c r="B3" s="4" t="s">
        <v>9</v>
      </c>
    </row>
    <row r="4" ht="18.0" customHeight="1">
      <c r="A4" s="5" t="s">
        <v>15</v>
      </c>
      <c r="B4" s="5" t="s">
        <v>22</v>
      </c>
    </row>
    <row r="5" ht="18.0" customHeight="1">
      <c r="A5" s="5" t="s">
        <v>25</v>
      </c>
      <c r="B5" s="5" t="s">
        <v>26</v>
      </c>
    </row>
    <row r="6" ht="18.0" customHeight="1">
      <c r="A6" s="5" t="s">
        <v>28</v>
      </c>
      <c r="B6" s="5" t="s">
        <v>31</v>
      </c>
    </row>
    <row r="7" ht="18.0" customHeight="1">
      <c r="A7" s="5" t="s">
        <v>32</v>
      </c>
      <c r="B7" s="5" t="s">
        <v>35</v>
      </c>
    </row>
    <row r="8" ht="18.0" customHeight="1">
      <c r="A8" s="5" t="s">
        <v>37</v>
      </c>
      <c r="B8" s="5" t="s">
        <v>39</v>
      </c>
    </row>
    <row r="9" ht="18.0" customHeight="1">
      <c r="A9" s="5" t="s">
        <v>41</v>
      </c>
      <c r="B9" s="5" t="s">
        <v>44</v>
      </c>
    </row>
    <row r="10" ht="18.0" customHeight="1">
      <c r="A10" s="5" t="s">
        <v>47</v>
      </c>
      <c r="B10" s="5" t="s">
        <v>49</v>
      </c>
    </row>
    <row r="11" ht="18.0" customHeight="1">
      <c r="A11" s="5" t="s">
        <v>18</v>
      </c>
      <c r="B11" s="5" t="s">
        <v>51</v>
      </c>
    </row>
    <row r="12" ht="18.0" customHeight="1">
      <c r="A12" s="5" t="s">
        <v>52</v>
      </c>
      <c r="B12" s="5" t="s">
        <v>53</v>
      </c>
    </row>
    <row r="13" ht="18.0" customHeight="1">
      <c r="A13" s="5" t="s">
        <v>54</v>
      </c>
      <c r="B13" s="5" t="s">
        <v>55</v>
      </c>
    </row>
    <row r="14" ht="18.0" customHeight="1">
      <c r="A14" s="5" t="s">
        <v>56</v>
      </c>
      <c r="B14" s="5" t="s">
        <v>57</v>
      </c>
    </row>
    <row r="15" ht="18.0" customHeight="1">
      <c r="A15" s="5" t="s">
        <v>58</v>
      </c>
      <c r="B15" s="5" t="s">
        <v>59</v>
      </c>
    </row>
    <row r="16" ht="18.0" customHeight="1">
      <c r="A16" s="5" t="s">
        <v>60</v>
      </c>
      <c r="B16" s="5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>
      <c r="A1" s="2" t="s">
        <v>7</v>
      </c>
    </row>
    <row r="3" ht="30.0" customHeight="1">
      <c r="A3" s="4" t="s">
        <v>12</v>
      </c>
      <c r="B3" s="4" t="s">
        <v>17</v>
      </c>
    </row>
    <row r="4" ht="18.0" customHeight="1">
      <c r="A4" s="5" t="s">
        <v>21</v>
      </c>
      <c r="B4" s="5" t="s">
        <v>24</v>
      </c>
    </row>
    <row r="5" ht="18.0" customHeight="1">
      <c r="A5" s="5" t="s">
        <v>27</v>
      </c>
      <c r="B5" s="5" t="s">
        <v>30</v>
      </c>
    </row>
    <row r="6" ht="18.0" customHeight="1">
      <c r="A6" s="5" t="s">
        <v>34</v>
      </c>
      <c r="B6" s="5" t="s">
        <v>38</v>
      </c>
    </row>
    <row r="7" ht="18.0" customHeight="1">
      <c r="A7" s="5" t="s">
        <v>42</v>
      </c>
      <c r="B7" s="5" t="s">
        <v>45</v>
      </c>
    </row>
    <row r="8" ht="18.0" customHeight="1">
      <c r="A8" s="5" t="s">
        <v>48</v>
      </c>
      <c r="B8" s="5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