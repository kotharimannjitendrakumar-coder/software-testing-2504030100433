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Locators" sheetId="3" r:id="rId6"/>
  </sheets>
  <definedNames/>
  <calcPr/>
  <extLst>
    <ext uri="GoogleSheetsCustomDataVersion2">
      <go:sheetsCustomData xmlns:go="http://customooxmlschemas.google.com/" r:id="rId7" roundtripDataChecksum="rkyy2hJAQIYJM5nbK7NLwW3c+xYlU7SvSS6H0Qv9LRU="/>
    </ext>
  </extLst>
</workbook>
</file>

<file path=xl/sharedStrings.xml><?xml version="1.0" encoding="utf-8"?>
<sst xmlns="http://schemas.openxmlformats.org/spreadsheetml/2006/main" count="122" uniqueCount="92">
  <si>
    <t>Tutorial 14 - Selenium Web Elements  |  Website: Selenium Web Form  (https://www.selenium.dev/selenium/web/web-form.html)</t>
  </si>
  <si>
    <t>Tester: Kothari Mann Jitendrakumar  |   Enrollment No: 2504030100433</t>
  </si>
  <si>
    <t>TC ID</t>
  </si>
  <si>
    <t>Test Scenario</t>
  </si>
  <si>
    <t>Test Case</t>
  </si>
  <si>
    <t>Preconditions</t>
  </si>
  <si>
    <t>Test Steps</t>
  </si>
  <si>
    <t>Test Data</t>
  </si>
  <si>
    <t>Expected Result</t>
  </si>
  <si>
    <t>Status (after execution)</t>
  </si>
  <si>
    <t>SEL01</t>
  </si>
  <si>
    <t>Text box</t>
  </si>
  <si>
    <t>Verify the Text box accepts input</t>
  </si>
  <si>
    <t>Python, Selenium and Chrome are installed; script file is open in VS Code</t>
  </si>
  <si>
    <t>1. Script finds the Text input (name my-text)
2. Script types 'Student Testing'
3. Script reads the value back</t>
  </si>
  <si>
    <t>Text: Student Testing</t>
  </si>
  <si>
    <t>Typed text appears in the text box</t>
  </si>
  <si>
    <t>Pass</t>
  </si>
  <si>
    <t>SEL02</t>
  </si>
  <si>
    <t>Password</t>
  </si>
  <si>
    <t>Verify the Password field accepts masked input</t>
  </si>
  <si>
    <t>Web form is open</t>
  </si>
  <si>
    <t>1. Script finds the Password input (name my-password)
2. Script types 'Test@1234'
3. Script checks the field type is password</t>
  </si>
  <si>
    <t>Password: Test@1234</t>
  </si>
  <si>
    <t>Characters are accepted and shown as dots</t>
  </si>
  <si>
    <t>SEL03</t>
  </si>
  <si>
    <t>Text area</t>
  </si>
  <si>
    <t>Verify the Textarea accepts input</t>
  </si>
  <si>
    <t>1. Script finds the Textarea (name my-textarea)
2. Script types a sentence</t>
  </si>
  <si>
    <t>Text: Testing the text area with Selenium</t>
  </si>
  <si>
    <t>Typed text appears in the text area</t>
  </si>
  <si>
    <t>SEL04</t>
  </si>
  <si>
    <t>Dropdown</t>
  </si>
  <si>
    <t>Verify an option can be selected in the dropdown</t>
  </si>
  <si>
    <t>1. Script finds the Dropdown (name my-select)
2. Script selects 'Two' by visible text</t>
  </si>
  <si>
    <t>Option: Two</t>
  </si>
  <si>
    <t>'Two' is shown as the selected option</t>
  </si>
  <si>
    <t>SEL05</t>
  </si>
  <si>
    <t>Checkbox</t>
  </si>
  <si>
    <t>Verify a checkbox can be ticked</t>
  </si>
  <si>
    <t>1. Script finds checkbox 2 (id my-check-2)
2. Script clicks it if not ticked</t>
  </si>
  <si>
    <t>Checkbox: Default checkbox 2</t>
  </si>
  <si>
    <t>Checkbox is ticked</t>
  </si>
  <si>
    <t>SEL06</t>
  </si>
  <si>
    <t>Radio button</t>
  </si>
  <si>
    <t>Verify a radio button can be selected</t>
  </si>
  <si>
    <t>1. Script finds radio 2 (id my-radio-2)
2. Script clicks it</t>
  </si>
  <si>
    <t>Radio: Default radio 2</t>
  </si>
  <si>
    <t>Radio button 2 is selected</t>
  </si>
  <si>
    <t>SEL07</t>
  </si>
  <si>
    <t>Date</t>
  </si>
  <si>
    <t>Verify a date can be entered</t>
  </si>
  <si>
    <t>1. Script finds the Date picker (name my-date)
2. Script types 10/26/2026</t>
  </si>
  <si>
    <t>Date: 10/26/2026</t>
  </si>
  <si>
    <t>Date field shows the entered date</t>
  </si>
  <si>
    <t>SEL08</t>
  </si>
  <si>
    <t>Submit</t>
  </si>
  <si>
    <t>Verify the form can be submitted</t>
  </si>
  <si>
    <t>All fields filled (SEL01-SEL07)</t>
  </si>
  <si>
    <t>1. Script clicks the Submit button
2. Script waits for the new page</t>
  </si>
  <si>
    <t>Button: Submit</t>
  </si>
  <si>
    <t>Browser moves to the 'form-submitted' page</t>
  </si>
  <si>
    <t>Fail</t>
  </si>
  <si>
    <t>SEL09</t>
  </si>
  <si>
    <t>Result</t>
  </si>
  <si>
    <t>Verify the result of the submission</t>
  </si>
  <si>
    <t>Form submitted (SEL08)</t>
  </si>
  <si>
    <t>1. Script reads the heading
2. Script reads the message</t>
  </si>
  <si>
    <t>Expected: heading 'Form submitted', message 'Received!'</t>
  </si>
  <si>
    <t>Heading 'Form submitted' and message 'Received!' are displayed</t>
  </si>
  <si>
    <t>Locators used in t14_webelements_seleniumwebform.py</t>
  </si>
  <si>
    <t>Test Execution Summary</t>
  </si>
  <si>
    <t>Metric</t>
  </si>
  <si>
    <t>Web Element</t>
  </si>
  <si>
    <t>Locator Used in the Script</t>
  </si>
  <si>
    <t>Value</t>
  </si>
  <si>
    <t>Total Test Cases</t>
  </si>
  <si>
    <t>By.NAME, "my-text"</t>
  </si>
  <si>
    <t>By.NAME, "my-password"</t>
  </si>
  <si>
    <t>By.NAME, "my-textarea"</t>
  </si>
  <si>
    <t>By.NAME, "my-select" (Select class)</t>
  </si>
  <si>
    <t>By.ID, "my-check-2"</t>
  </si>
  <si>
    <t>By.ID, "my-radio-2"</t>
  </si>
  <si>
    <t>By.NAME, "my-date"</t>
  </si>
  <si>
    <t>By.CSS_SELECTOR, "button[type='submit']"</t>
  </si>
  <si>
    <t>Result heading / message</t>
  </si>
  <si>
    <t>By.TAG_NAME, "h1"  /  By.ID, "message"</t>
  </si>
  <si>
    <t>Passed</t>
  </si>
  <si>
    <t>Failed</t>
  </si>
  <si>
    <t>Blocked</t>
  </si>
  <si>
    <t>Not Executed</t>
  </si>
  <si>
    <t>Pass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</si>
</sst>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2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  <font>
      <b/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4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1" t="s">
        <v>0</v>
      </c>
    </row>
    <row r="2">
      <c r="A2" s="2" t="s">
        <v>1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44.25" customHeight="1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6" t="s">
        <v>17</v>
      </c>
    </row>
    <row r="6" ht="44.25" customHeight="1">
      <c r="A6" s="4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6" t="s">
        <v>17</v>
      </c>
    </row>
    <row r="7" ht="30.75" customHeight="1">
      <c r="A7" s="4" t="s">
        <v>25</v>
      </c>
      <c r="B7" s="5" t="s">
        <v>26</v>
      </c>
      <c r="C7" s="5" t="s">
        <v>27</v>
      </c>
      <c r="D7" s="5" t="s">
        <v>21</v>
      </c>
      <c r="E7" s="5" t="s">
        <v>28</v>
      </c>
      <c r="F7" s="5" t="s">
        <v>29</v>
      </c>
      <c r="G7" s="5" t="s">
        <v>30</v>
      </c>
      <c r="H7" s="6" t="s">
        <v>17</v>
      </c>
    </row>
    <row r="8" ht="30.75" customHeight="1">
      <c r="A8" s="4" t="s">
        <v>31</v>
      </c>
      <c r="B8" s="5" t="s">
        <v>32</v>
      </c>
      <c r="C8" s="5" t="s">
        <v>33</v>
      </c>
      <c r="D8" s="5" t="s">
        <v>21</v>
      </c>
      <c r="E8" s="5" t="s">
        <v>34</v>
      </c>
      <c r="F8" s="5" t="s">
        <v>35</v>
      </c>
      <c r="G8" s="5" t="s">
        <v>36</v>
      </c>
      <c r="H8" s="6" t="s">
        <v>17</v>
      </c>
    </row>
    <row r="9" ht="30.75" customHeight="1">
      <c r="A9" s="4" t="s">
        <v>37</v>
      </c>
      <c r="B9" s="5" t="s">
        <v>38</v>
      </c>
      <c r="C9" s="5" t="s">
        <v>39</v>
      </c>
      <c r="D9" s="5" t="s">
        <v>21</v>
      </c>
      <c r="E9" s="5" t="s">
        <v>40</v>
      </c>
      <c r="F9" s="5" t="s">
        <v>41</v>
      </c>
      <c r="G9" s="5" t="s">
        <v>42</v>
      </c>
      <c r="H9" s="6" t="s">
        <v>17</v>
      </c>
    </row>
    <row r="10" ht="30.75" customHeight="1">
      <c r="A10" s="4" t="s">
        <v>43</v>
      </c>
      <c r="B10" s="5" t="s">
        <v>44</v>
      </c>
      <c r="C10" s="5" t="s">
        <v>45</v>
      </c>
      <c r="D10" s="5" t="s">
        <v>21</v>
      </c>
      <c r="E10" s="5" t="s">
        <v>46</v>
      </c>
      <c r="F10" s="5" t="s">
        <v>47</v>
      </c>
      <c r="G10" s="5" t="s">
        <v>48</v>
      </c>
      <c r="H10" s="6" t="s">
        <v>17</v>
      </c>
    </row>
    <row r="11" ht="30.75" customHeight="1">
      <c r="A11" s="4" t="s">
        <v>49</v>
      </c>
      <c r="B11" s="5" t="s">
        <v>50</v>
      </c>
      <c r="C11" s="5" t="s">
        <v>51</v>
      </c>
      <c r="D11" s="5" t="s">
        <v>21</v>
      </c>
      <c r="E11" s="5" t="s">
        <v>52</v>
      </c>
      <c r="F11" s="5" t="s">
        <v>53</v>
      </c>
      <c r="G11" s="5" t="s">
        <v>54</v>
      </c>
      <c r="H11" s="6" t="s">
        <v>17</v>
      </c>
    </row>
    <row r="12" ht="30.75" customHeight="1">
      <c r="A12" s="4" t="s">
        <v>55</v>
      </c>
      <c r="B12" s="5" t="s">
        <v>56</v>
      </c>
      <c r="C12" s="5" t="s">
        <v>57</v>
      </c>
      <c r="D12" s="5" t="s">
        <v>58</v>
      </c>
      <c r="E12" s="5" t="s">
        <v>59</v>
      </c>
      <c r="F12" s="5" t="s">
        <v>60</v>
      </c>
      <c r="G12" s="5" t="s">
        <v>61</v>
      </c>
      <c r="H12" s="7" t="s">
        <v>62</v>
      </c>
    </row>
    <row r="13" ht="30.75" customHeight="1">
      <c r="A13" s="4" t="s">
        <v>63</v>
      </c>
      <c r="B13" s="5" t="s">
        <v>64</v>
      </c>
      <c r="C13" s="5" t="s">
        <v>65</v>
      </c>
      <c r="D13" s="5" t="s">
        <v>66</v>
      </c>
      <c r="E13" s="5" t="s">
        <v>67</v>
      </c>
      <c r="F13" s="5" t="s">
        <v>68</v>
      </c>
      <c r="G13" s="5" t="s">
        <v>69</v>
      </c>
      <c r="H13" s="6" t="s">
        <v>17</v>
      </c>
    </row>
    <row r="15" ht="48.0" customHeight="1">
      <c r="A1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5:H15"/>
  </mergeCells>
  <conditionalFormatting sqref="H5:H13">
    <cfRule type="cellIs" dxfId="0" priority="1" operator="equal">
      <formula>"Pass"</formula>
    </cfRule>
  </conditionalFormatting>
  <conditionalFormatting sqref="H5:H13">
    <cfRule type="cellIs" dxfId="1" priority="2" operator="equal">
      <formula>"Fail"</formula>
    </cfRule>
  </conditionalFormatting>
  <dataValidations>
    <dataValidation type="list" allowBlank="1" sqref="H5:H13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9" t="s">
        <v>71</v>
      </c>
    </row>
    <row r="3" ht="30.0" customHeight="1">
      <c r="A3" s="3" t="s">
        <v>72</v>
      </c>
      <c r="B3" s="3" t="s">
        <v>75</v>
      </c>
    </row>
    <row r="4">
      <c r="A4" s="10" t="s">
        <v>76</v>
      </c>
      <c r="B4" s="11">
        <f>COUNTA('Test Cases'!$A$5:$A$13)</f>
        <v>9</v>
      </c>
    </row>
    <row r="5">
      <c r="A5" s="10" t="s">
        <v>87</v>
      </c>
      <c r="B5" s="11">
        <f>COUNTIF('Test Cases'!$H$5:$H$13,"Pass")</f>
        <v>8</v>
      </c>
    </row>
    <row r="6">
      <c r="A6" s="10" t="s">
        <v>88</v>
      </c>
      <c r="B6" s="11">
        <f>COUNTIF('Test Cases'!$H$5:$H$13,"Fail")</f>
        <v>1</v>
      </c>
    </row>
    <row r="7">
      <c r="A7" s="10" t="s">
        <v>89</v>
      </c>
      <c r="B7" s="11">
        <f>COUNTIF('Test Cases'!$H$5:$H$13,"Blocked")</f>
        <v>0</v>
      </c>
    </row>
    <row r="8">
      <c r="A8" s="10" t="s">
        <v>90</v>
      </c>
      <c r="B8" s="11">
        <f>B4-B5-B6-B7</f>
        <v>0</v>
      </c>
    </row>
    <row r="9">
      <c r="A9" s="10" t="s">
        <v>91</v>
      </c>
      <c r="B9" s="12">
        <f>IFERROR(B5/(B5+B6),0)</f>
        <v>0.8888888889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64.0"/>
    <col customWidth="1" min="4" max="26" width="8.71"/>
  </cols>
  <sheetData>
    <row r="1">
      <c r="A1" s="9" t="s">
        <v>70</v>
      </c>
    </row>
    <row r="3" ht="30.0" customHeight="1">
      <c r="A3" s="3" t="s">
        <v>2</v>
      </c>
      <c r="B3" s="3" t="s">
        <v>73</v>
      </c>
      <c r="C3" s="3" t="s">
        <v>74</v>
      </c>
    </row>
    <row r="4" ht="18.0" customHeight="1">
      <c r="A4" s="5" t="s">
        <v>10</v>
      </c>
      <c r="B4" s="5" t="s">
        <v>11</v>
      </c>
      <c r="C4" s="5" t="s">
        <v>77</v>
      </c>
    </row>
    <row r="5" ht="18.0" customHeight="1">
      <c r="A5" s="5" t="s">
        <v>18</v>
      </c>
      <c r="B5" s="5" t="s">
        <v>19</v>
      </c>
      <c r="C5" s="5" t="s">
        <v>78</v>
      </c>
    </row>
    <row r="6" ht="18.0" customHeight="1">
      <c r="A6" s="5" t="s">
        <v>25</v>
      </c>
      <c r="B6" s="5" t="s">
        <v>26</v>
      </c>
      <c r="C6" s="5" t="s">
        <v>79</v>
      </c>
    </row>
    <row r="7" ht="18.0" customHeight="1">
      <c r="A7" s="5" t="s">
        <v>31</v>
      </c>
      <c r="B7" s="5" t="s">
        <v>32</v>
      </c>
      <c r="C7" s="5" t="s">
        <v>80</v>
      </c>
    </row>
    <row r="8" ht="18.0" customHeight="1">
      <c r="A8" s="5" t="s">
        <v>37</v>
      </c>
      <c r="B8" s="5" t="s">
        <v>38</v>
      </c>
      <c r="C8" s="5" t="s">
        <v>81</v>
      </c>
    </row>
    <row r="9" ht="18.0" customHeight="1">
      <c r="A9" s="5" t="s">
        <v>43</v>
      </c>
      <c r="B9" s="5" t="s">
        <v>44</v>
      </c>
      <c r="C9" s="5" t="s">
        <v>82</v>
      </c>
    </row>
    <row r="10" ht="18.0" customHeight="1">
      <c r="A10" s="5" t="s">
        <v>49</v>
      </c>
      <c r="B10" s="5" t="s">
        <v>50</v>
      </c>
      <c r="C10" s="5" t="s">
        <v>83</v>
      </c>
    </row>
    <row r="11" ht="18.0" customHeight="1">
      <c r="A11" s="5" t="s">
        <v>55</v>
      </c>
      <c r="B11" s="5" t="s">
        <v>56</v>
      </c>
      <c r="C11" s="5" t="s">
        <v>84</v>
      </c>
    </row>
    <row r="12" ht="30.75" customHeight="1">
      <c r="A12" s="5" t="s">
        <v>63</v>
      </c>
      <c r="B12" s="5" t="s">
        <v>85</v>
      </c>
      <c r="C12" s="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2026-10-25T19:40:34Z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