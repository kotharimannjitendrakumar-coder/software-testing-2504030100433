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Summary" sheetId="2" r:id="rId5"/>
    <sheet state="visible" name="Locators" sheetId="3" r:id="rId6"/>
  </sheets>
  <definedNames/>
  <calcPr/>
  <extLst>
    <ext uri="GoogleSheetsCustomDataVersion2">
      <go:sheetsCustomData xmlns:go="http://customooxmlschemas.google.com/" r:id="rId7" roundtripDataChecksum="/+zfiVZyEdhU0HKekQrqDOfylUzWWypPVaW+KwoGlv8="/>
    </ext>
  </extLst>
</workbook>
</file>

<file path=xl/sharedStrings.xml><?xml version="1.0" encoding="utf-8"?>
<sst xmlns="http://schemas.openxmlformats.org/spreadsheetml/2006/main" count="101" uniqueCount="83">
  <si>
    <t>Test Execution Summary</t>
  </si>
  <si>
    <t>Tutorial 11 - Python + Selenium Navigation &amp; Multi-page Workflow  |  Website: Automation Exercise  (https://automationexercise.com)</t>
  </si>
  <si>
    <t>Tester: Kothari Mann Jitendrakumar  |   Enrollment No: 2504030100433</t>
  </si>
  <si>
    <t>Metric</t>
  </si>
  <si>
    <t>TC ID</t>
  </si>
  <si>
    <t>Test Scenario</t>
  </si>
  <si>
    <t>Value</t>
  </si>
  <si>
    <t>Total Test Cases</t>
  </si>
  <si>
    <t>Test Case</t>
  </si>
  <si>
    <t>Preconditions</t>
  </si>
  <si>
    <t>Test Steps</t>
  </si>
  <si>
    <t>Test Data</t>
  </si>
  <si>
    <t>Locators used in t11_navigation_automationexercise.py</t>
  </si>
  <si>
    <t>Expected Result</t>
  </si>
  <si>
    <t>Status (after execution)</t>
  </si>
  <si>
    <t>TC01</t>
  </si>
  <si>
    <t>Navigation</t>
  </si>
  <si>
    <t>Verify the website opens</t>
  </si>
  <si>
    <t>Python, Selenium and Chrome are installed; script file is open in VS Code</t>
  </si>
  <si>
    <t>1. Script starts Chrome and maximizes it
2. driver.get(URL) opens the home page
3. Script checks the page title</t>
  </si>
  <si>
    <t>URL: https://automationexercise.com</t>
  </si>
  <si>
    <t>Home page opens and the title contains 'Automation Exercise'</t>
  </si>
  <si>
    <t>Web Element</t>
  </si>
  <si>
    <t>Locator Used in the Script</t>
  </si>
  <si>
    <t>Pass</t>
  </si>
  <si>
    <t>TC02</t>
  </si>
  <si>
    <t>Page title</t>
  </si>
  <si>
    <t>driver.title</t>
  </si>
  <si>
    <t>Verify the Products page opens</t>
  </si>
  <si>
    <t>TC01 passed (home page open)</t>
  </si>
  <si>
    <t>1. Script clicks the 'Products' link
2. Script waits for the URL to contain /products
3. Script checks the heading</t>
  </si>
  <si>
    <t>Products link</t>
  </si>
  <si>
    <t>Link: Products</t>
  </si>
  <si>
    <t>Products page opens with the 'ALL PRODUCTS' heading</t>
  </si>
  <si>
    <t>By.CSS_SELECTOR, "a[href='/products']"</t>
  </si>
  <si>
    <t>Heading</t>
  </si>
  <si>
    <t>TC03</t>
  </si>
  <si>
    <t>By.CSS_SELECTOR, "h2.title.text-center"</t>
  </si>
  <si>
    <t>Search</t>
  </si>
  <si>
    <t>Passed</t>
  </si>
  <si>
    <t>Verify a product can be searched</t>
  </si>
  <si>
    <t>Products page is open</t>
  </si>
  <si>
    <t>Search box</t>
  </si>
  <si>
    <t>1. Script types 'Tshirt' in the search box
2. Script clicks the search button
3. Script checks the 'SEARCHED PRODUCTS' heading and the result count</t>
  </si>
  <si>
    <t>By.ID, "search_product"</t>
  </si>
  <si>
    <t>Search text: Tshirt</t>
  </si>
  <si>
    <t>'SEARCHED PRODUCTS' heading is shown with at least one matching product</t>
  </si>
  <si>
    <t>Search button</t>
  </si>
  <si>
    <t>By.ID, "submit_search"</t>
  </si>
  <si>
    <t>Failed</t>
  </si>
  <si>
    <t>TC04</t>
  </si>
  <si>
    <t>View Product link</t>
  </si>
  <si>
    <t>By.XPATH, "(//a[contains(text(),'View Product')])[1]"</t>
  </si>
  <si>
    <t>Product</t>
  </si>
  <si>
    <t>TC05</t>
  </si>
  <si>
    <t>Verify a product can be selected</t>
  </si>
  <si>
    <t>Add to cart button</t>
  </si>
  <si>
    <t>Search results are displayed</t>
  </si>
  <si>
    <t>By.CSS_SELECTOR, "button.cart"</t>
  </si>
  <si>
    <t>1. Script clicks 'View Product' of the first result
2. Script waits for the product-details URL
3. Script checks the product name</t>
  </si>
  <si>
    <t>First product of the search</t>
  </si>
  <si>
    <t>Product details page opens and the product name is displayed</t>
  </si>
  <si>
    <t>Confirmation pop-up</t>
  </si>
  <si>
    <t>By.CSS_SELECTOR, "#cartModal .modal-content"</t>
  </si>
  <si>
    <t>TC06</t>
  </si>
  <si>
    <t>Cart</t>
  </si>
  <si>
    <t>Blocked</t>
  </si>
  <si>
    <t>View Cart link</t>
  </si>
  <si>
    <t>Verify a product can be added to the cart</t>
  </si>
  <si>
    <t>By.XPATH, "//div[@id='cartModal']//a[contains(@href,'view_cart')]"</t>
  </si>
  <si>
    <t>Product details page is open</t>
  </si>
  <si>
    <t>1. Script clicks 'Add to cart'
2. Script waits for the confirmation pop-up
3. Script checks the text 'Added!'</t>
  </si>
  <si>
    <t>Quantity: 1</t>
  </si>
  <si>
    <t>Pop-up 'Added! Your product has been added to cart.' is displayed</t>
  </si>
  <si>
    <t>Cart table</t>
  </si>
  <si>
    <t>By.ID, "cart_info_table"</t>
  </si>
  <si>
    <t>Not Executed</t>
  </si>
  <si>
    <t>Verify the cart can be opened</t>
  </si>
  <si>
    <t>'Added!' pop-up is displayed</t>
  </si>
  <si>
    <t>1. Script clicks 'View Cart' in the pop-up
2. Script waits for the cart URL
3. Script checks that the cart table has at least one row</t>
  </si>
  <si>
    <t>Link: View Cart</t>
  </si>
  <si>
    <t>Cart page opens and shows the added product</t>
  </si>
  <si>
    <t>Pass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</si>
</sst>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sz val="12.0"/>
      <color theme="1"/>
      <name val="Arial"/>
    </font>
    <font>
      <b/>
      <sz val="13.0"/>
      <color theme="1"/>
      <name val="Arial"/>
    </font>
    <font>
      <i/>
      <sz val="9.0"/>
      <color rgb="FFC00000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shrinkToFit="0" vertical="bottom" wrapText="0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top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top" wrapText="1"/>
    </xf>
    <xf borderId="1" fillId="0" fontId="5" numFmtId="164" xfId="0" applyAlignment="1" applyBorder="1" applyFont="1" applyNumberFormat="1">
      <alignment horizontal="left" shrinkToFit="0" vertical="bottom" wrapText="0"/>
    </xf>
  </cellXfs>
  <cellStyles count="1">
    <cellStyle xfId="0" name="Normal" builtinId="0"/>
  </cellStyles>
  <dxfs count="2">
    <dxf>
      <font>
        <b/>
        <color rgb="FF1E7B34"/>
        <name val="Arial"/>
      </font>
      <fill>
        <patternFill patternType="none"/>
      </fill>
      <border/>
    </dxf>
    <dxf>
      <font>
        <b/>
        <color rgb="FFC00000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36.0"/>
    <col customWidth="1" min="4" max="4" width="32.0"/>
    <col customWidth="1" min="5" max="5" width="54.0"/>
    <col customWidth="1" min="6" max="6" width="34.0"/>
    <col customWidth="1" min="7" max="7" width="44.0"/>
    <col customWidth="1" min="8" max="8" width="16.0"/>
    <col customWidth="1" min="9" max="26" width="8.71"/>
  </cols>
  <sheetData>
    <row r="1">
      <c r="A1" s="2" t="s">
        <v>1</v>
      </c>
    </row>
    <row r="2">
      <c r="A2" s="3" t="s">
        <v>2</v>
      </c>
    </row>
    <row r="4" ht="30.0" customHeight="1">
      <c r="A4" s="4" t="s">
        <v>4</v>
      </c>
      <c r="B4" s="4" t="s">
        <v>5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13</v>
      </c>
      <c r="H4" s="4" t="s">
        <v>14</v>
      </c>
    </row>
    <row r="5" ht="44.25" customHeight="1">
      <c r="A5" s="6" t="s">
        <v>15</v>
      </c>
      <c r="B5" s="7" t="s">
        <v>16</v>
      </c>
      <c r="C5" s="7" t="s">
        <v>17</v>
      </c>
      <c r="D5" s="7" t="s">
        <v>18</v>
      </c>
      <c r="E5" s="7" t="s">
        <v>19</v>
      </c>
      <c r="F5" s="7" t="s">
        <v>20</v>
      </c>
      <c r="G5" s="7" t="s">
        <v>21</v>
      </c>
      <c r="H5" s="8" t="s">
        <v>24</v>
      </c>
    </row>
    <row r="6" ht="44.25" customHeight="1">
      <c r="A6" s="6" t="s">
        <v>25</v>
      </c>
      <c r="B6" s="7" t="s">
        <v>16</v>
      </c>
      <c r="C6" s="7" t="s">
        <v>28</v>
      </c>
      <c r="D6" s="7" t="s">
        <v>29</v>
      </c>
      <c r="E6" s="7" t="s">
        <v>30</v>
      </c>
      <c r="F6" s="7" t="s">
        <v>32</v>
      </c>
      <c r="G6" s="7" t="s">
        <v>33</v>
      </c>
      <c r="H6" s="8" t="s">
        <v>24</v>
      </c>
    </row>
    <row r="7" ht="57.75" customHeight="1">
      <c r="A7" s="6" t="s">
        <v>36</v>
      </c>
      <c r="B7" s="7" t="s">
        <v>38</v>
      </c>
      <c r="C7" s="7" t="s">
        <v>40</v>
      </c>
      <c r="D7" s="7" t="s">
        <v>41</v>
      </c>
      <c r="E7" s="7" t="s">
        <v>43</v>
      </c>
      <c r="F7" s="7" t="s">
        <v>45</v>
      </c>
      <c r="G7" s="7" t="s">
        <v>46</v>
      </c>
      <c r="H7" s="8" t="s">
        <v>24</v>
      </c>
    </row>
    <row r="8" ht="44.25" customHeight="1">
      <c r="A8" s="6" t="s">
        <v>50</v>
      </c>
      <c r="B8" s="7" t="s">
        <v>53</v>
      </c>
      <c r="C8" s="7" t="s">
        <v>55</v>
      </c>
      <c r="D8" s="7" t="s">
        <v>57</v>
      </c>
      <c r="E8" s="7" t="s">
        <v>59</v>
      </c>
      <c r="F8" s="7" t="s">
        <v>60</v>
      </c>
      <c r="G8" s="7" t="s">
        <v>61</v>
      </c>
      <c r="H8" s="8" t="s">
        <v>24</v>
      </c>
    </row>
    <row r="9" ht="44.25" customHeight="1">
      <c r="A9" s="6" t="s">
        <v>54</v>
      </c>
      <c r="B9" s="7" t="s">
        <v>65</v>
      </c>
      <c r="C9" s="7" t="s">
        <v>68</v>
      </c>
      <c r="D9" s="7" t="s">
        <v>70</v>
      </c>
      <c r="E9" s="7" t="s">
        <v>71</v>
      </c>
      <c r="F9" s="7" t="s">
        <v>72</v>
      </c>
      <c r="G9" s="7" t="s">
        <v>73</v>
      </c>
      <c r="H9" s="8" t="s">
        <v>24</v>
      </c>
    </row>
    <row r="10" ht="57.75" customHeight="1">
      <c r="A10" s="6" t="s">
        <v>64</v>
      </c>
      <c r="B10" s="7" t="s">
        <v>65</v>
      </c>
      <c r="C10" s="7" t="s">
        <v>77</v>
      </c>
      <c r="D10" s="7" t="s">
        <v>78</v>
      </c>
      <c r="E10" s="7" t="s">
        <v>79</v>
      </c>
      <c r="F10" s="7" t="s">
        <v>80</v>
      </c>
      <c r="G10" s="7" t="s">
        <v>81</v>
      </c>
      <c r="H10" s="8" t="s">
        <v>24</v>
      </c>
    </row>
    <row r="12" ht="48.0" customHeight="1">
      <c r="A1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2:H12"/>
  </mergeCells>
  <conditionalFormatting sqref="H5:H10">
    <cfRule type="cellIs" dxfId="0" priority="1" operator="equal">
      <formula>"Pass"</formula>
    </cfRule>
  </conditionalFormatting>
  <conditionalFormatting sqref="H5:H10">
    <cfRule type="cellIs" dxfId="1" priority="2" operator="equal">
      <formula>"Fail"</formula>
    </cfRule>
  </conditionalFormatting>
  <dataValidations>
    <dataValidation type="list" allowBlank="1" sqref="H5:H10">
      <formula1>"Pass,Fail,Blocked,Not Run"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6.0"/>
    <col customWidth="1" min="3" max="26" width="8.71"/>
  </cols>
  <sheetData>
    <row r="1">
      <c r="A1" s="1" t="s">
        <v>0</v>
      </c>
    </row>
    <row r="3" ht="30.0" customHeight="1">
      <c r="A3" s="4" t="s">
        <v>3</v>
      </c>
      <c r="B3" s="4" t="s">
        <v>6</v>
      </c>
    </row>
    <row r="4">
      <c r="A4" s="5" t="s">
        <v>7</v>
      </c>
      <c r="B4" s="9">
        <f>COUNTA('Test Cases'!$A$5:$A$10)</f>
        <v>6</v>
      </c>
    </row>
    <row r="5">
      <c r="A5" s="5" t="s">
        <v>39</v>
      </c>
      <c r="B5" s="9">
        <f>COUNTIF('Test Cases'!$H$5:$H$10,"Pass")</f>
        <v>6</v>
      </c>
    </row>
    <row r="6">
      <c r="A6" s="5" t="s">
        <v>49</v>
      </c>
      <c r="B6" s="9">
        <f>COUNTIF('Test Cases'!$H$5:$H$10,"Fail")</f>
        <v>0</v>
      </c>
    </row>
    <row r="7">
      <c r="A7" s="5" t="s">
        <v>66</v>
      </c>
      <c r="B7" s="9">
        <f>COUNTIF('Test Cases'!$H$5:$H$10,"Blocked")</f>
        <v>0</v>
      </c>
    </row>
    <row r="8">
      <c r="A8" s="5" t="s">
        <v>76</v>
      </c>
      <c r="B8" s="9">
        <f>B4-B5-B6-B7</f>
        <v>0</v>
      </c>
    </row>
    <row r="9">
      <c r="A9" s="5" t="s">
        <v>82</v>
      </c>
      <c r="B9" s="11">
        <f>IFERROR(B5/(B5+B6),0)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30.0"/>
    <col customWidth="1" min="3" max="3" width="64.0"/>
    <col customWidth="1" min="4" max="26" width="8.71"/>
  </cols>
  <sheetData>
    <row r="1">
      <c r="A1" s="1" t="s">
        <v>12</v>
      </c>
    </row>
    <row r="3" ht="30.0" customHeight="1">
      <c r="A3" s="4" t="s">
        <v>4</v>
      </c>
      <c r="B3" s="4" t="s">
        <v>22</v>
      </c>
      <c r="C3" s="4" t="s">
        <v>23</v>
      </c>
    </row>
    <row r="4" ht="18.0" customHeight="1">
      <c r="A4" s="7" t="s">
        <v>15</v>
      </c>
      <c r="B4" s="7" t="s">
        <v>26</v>
      </c>
      <c r="C4" s="7" t="s">
        <v>27</v>
      </c>
    </row>
    <row r="5" ht="18.0" customHeight="1">
      <c r="A5" s="7" t="s">
        <v>25</v>
      </c>
      <c r="B5" s="7" t="s">
        <v>31</v>
      </c>
      <c r="C5" s="7" t="s">
        <v>34</v>
      </c>
    </row>
    <row r="6" ht="18.0" customHeight="1">
      <c r="A6" s="7" t="s">
        <v>25</v>
      </c>
      <c r="B6" s="7" t="s">
        <v>35</v>
      </c>
      <c r="C6" s="7" t="s">
        <v>37</v>
      </c>
    </row>
    <row r="7" ht="18.0" customHeight="1">
      <c r="A7" s="7" t="s">
        <v>36</v>
      </c>
      <c r="B7" s="7" t="s">
        <v>42</v>
      </c>
      <c r="C7" s="7" t="s">
        <v>44</v>
      </c>
    </row>
    <row r="8" ht="18.0" customHeight="1">
      <c r="A8" s="7" t="s">
        <v>36</v>
      </c>
      <c r="B8" s="7" t="s">
        <v>47</v>
      </c>
      <c r="C8" s="7" t="s">
        <v>48</v>
      </c>
    </row>
    <row r="9" ht="18.0" customHeight="1">
      <c r="A9" s="7" t="s">
        <v>50</v>
      </c>
      <c r="B9" s="7" t="s">
        <v>51</v>
      </c>
      <c r="C9" s="7" t="s">
        <v>52</v>
      </c>
    </row>
    <row r="10" ht="18.0" customHeight="1">
      <c r="A10" s="7" t="s">
        <v>54</v>
      </c>
      <c r="B10" s="7" t="s">
        <v>56</v>
      </c>
      <c r="C10" s="7" t="s">
        <v>58</v>
      </c>
    </row>
    <row r="11" ht="18.0" customHeight="1">
      <c r="A11" s="7" t="s">
        <v>54</v>
      </c>
      <c r="B11" s="7" t="s">
        <v>62</v>
      </c>
      <c r="C11" s="7" t="s">
        <v>63</v>
      </c>
    </row>
    <row r="12" ht="18.0" customHeight="1">
      <c r="A12" s="7" t="s">
        <v>64</v>
      </c>
      <c r="B12" s="7" t="s">
        <v>67</v>
      </c>
      <c r="C12" s="7" t="s">
        <v>69</v>
      </c>
    </row>
    <row r="13" ht="18.0" customHeight="1">
      <c r="A13" s="7" t="s">
        <v>64</v>
      </c>
      <c r="B13" s="7" t="s">
        <v>74</v>
      </c>
      <c r="C13" s="7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2026-10-25T19:40:34Z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