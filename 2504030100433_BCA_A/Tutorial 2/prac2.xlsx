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Test Plan" sheetId="3" r:id="rId6"/>
    <sheet state="visible" name="Scope" sheetId="4" r:id="rId7"/>
    <sheet state="visible" name="Strategy" sheetId="5" r:id="rId8"/>
    <sheet state="visible" name="RTM" sheetId="6" r:id="rId9"/>
  </sheets>
  <definedNames/>
  <calcPr/>
  <extLst>
    <ext uri="GoogleSheetsCustomDataVersion2">
      <go:sheetsCustomData xmlns:go="http://customooxmlschemas.google.com/" r:id="rId10" roundtripDataChecksum="0FtOTFsPbp5caiwNTyZlCX/0jPJqIWrZRA0UZsJM+QY="/>
    </ext>
  </extLst>
</workbook>
</file>

<file path=xl/sharedStrings.xml><?xml version="1.0" encoding="utf-8"?>
<sst xmlns="http://schemas.openxmlformats.org/spreadsheetml/2006/main" count="177" uniqueCount="147">
  <si>
    <t>Testing Scope Document</t>
  </si>
  <si>
    <t>Tutorial 2 - Test Plan &amp; RTM  |  Website: Automation Exercise  (https://automationexercise.com)</t>
  </si>
  <si>
    <t>Test Plan</t>
  </si>
  <si>
    <t>Test Execution Summary</t>
  </si>
  <si>
    <t>Tester: Kothari Mann Jitendrakumar  |   Enrollment No: 2504030100433</t>
  </si>
  <si>
    <t>Section</t>
  </si>
  <si>
    <t>Metric</t>
  </si>
  <si>
    <t>In Scope</t>
  </si>
  <si>
    <t>TC ID</t>
  </si>
  <si>
    <t>Details</t>
  </si>
  <si>
    <t>Objective</t>
  </si>
  <si>
    <t>Test Scenario</t>
  </si>
  <si>
    <t>Test Case</t>
  </si>
  <si>
    <t>Verify the Login and Registration modules of Automation Exercise against the planned requirements.</t>
  </si>
  <si>
    <t>Preconditions</t>
  </si>
  <si>
    <t>Test Steps</t>
  </si>
  <si>
    <t>Test Items</t>
  </si>
  <si>
    <t>Test Data</t>
  </si>
  <si>
    <t>Signup, Login and Logout pages of https://automationexercise.com</t>
  </si>
  <si>
    <t>Expected Result</t>
  </si>
  <si>
    <t>Features to be tested</t>
  </si>
  <si>
    <t>Status (after execution)</t>
  </si>
  <si>
    <t>Valid/invalid registration, existing email, valid/invalid login, blank field validation, logout.</t>
  </si>
  <si>
    <t>Features not to be tested</t>
  </si>
  <si>
    <t>Products, cart, payment, contact-us, test-case page, API testing.</t>
  </si>
  <si>
    <t>Value</t>
  </si>
  <si>
    <t>TC01</t>
  </si>
  <si>
    <t>Test Approach</t>
  </si>
  <si>
    <t>Manual black-box testing with positive and negative test cases; results documented with screenshots.</t>
  </si>
  <si>
    <t>Test Environment</t>
  </si>
  <si>
    <t>Total Test Cases</t>
  </si>
  <si>
    <t>Out of Scope</t>
  </si>
  <si>
    <t>Windows 10/11, Google Chrome (latest), internet connection.</t>
  </si>
  <si>
    <t>Registration</t>
  </si>
  <si>
    <t>Verify valid registration</t>
  </si>
  <si>
    <t>Unique email + password Test@1234; invalid email formats; blank values.</t>
  </si>
  <si>
    <t>Website is open; email is not already registered</t>
  </si>
  <si>
    <t>Entry Criteria</t>
  </si>
  <si>
    <t>1. Open the website
2. Click 'Signup / Login'
3. Enter Name and a NEW email under 'New User Signup!'
4. Click Signup
5. Fill account information (title, password, date of birth, first/last name, address, state, city, zipcode, mobile)
6. Click 'Create Account'</t>
  </si>
  <si>
    <t>Website reachable; test cases reviewed and approved.</t>
  </si>
  <si>
    <t>Name: Test User; Email: &lt;your unique email&gt;; Password: Test@1234</t>
  </si>
  <si>
    <t>User registration</t>
  </si>
  <si>
    <t>'ACCOUNT CREATED!' message is displayed; after Continue the user is logged in</t>
  </si>
  <si>
    <t>Exit Criteria</t>
  </si>
  <si>
    <t>Product search and cart</t>
  </si>
  <si>
    <t>All 8 test cases executed; defects logged; RTM shows every requirement covered.</t>
  </si>
  <si>
    <t>User login</t>
  </si>
  <si>
    <t>Suspension Criteria</t>
  </si>
  <si>
    <t>Payment and checkout</t>
  </si>
  <si>
    <t>Website down or signup/login pages not loading.</t>
  </si>
  <si>
    <t>Pass</t>
  </si>
  <si>
    <t>Logout</t>
  </si>
  <si>
    <t>Roles &amp; Resources</t>
  </si>
  <si>
    <t>Performance and load testing</t>
  </si>
  <si>
    <t>Tester: [Your Name]</t>
  </si>
  <si>
    <t>Field validation messages</t>
  </si>
  <si>
    <t>Schedule</t>
  </si>
  <si>
    <t>Security penetration testing</t>
  </si>
  <si>
    <t>Planning 1 day; Design 1 day; Execution 1 day; Reporting 1 day.</t>
  </si>
  <si>
    <t>Duplicate-email handling</t>
  </si>
  <si>
    <t>Risks</t>
  </si>
  <si>
    <t>API testing</t>
  </si>
  <si>
    <t>Public demo site may be slow/unavailable; test data may be reset.</t>
  </si>
  <si>
    <t>Deliverables</t>
  </si>
  <si>
    <t>TC02</t>
  </si>
  <si>
    <t>Test plan, scope, strategy, RTM, test cases sheet, screenshot report.</t>
  </si>
  <si>
    <t>Verify registration with an invalid email format</t>
  </si>
  <si>
    <t>Signup form is displayed</t>
  </si>
  <si>
    <t>1. Click 'Signup / Login'
2. Enter Name
3. Enter email without @ (testuser.com)
4. Click Signup</t>
  </si>
  <si>
    <t>Name: Test User; Email: testuser.com</t>
  </si>
  <si>
    <t>Browser validation asks for a valid email address and signup does not proceed</t>
  </si>
  <si>
    <t>TC03</t>
  </si>
  <si>
    <t>Verify registration with an existing email</t>
  </si>
  <si>
    <t>An account already exists for the email (from TC01)</t>
  </si>
  <si>
    <t>1. Log out if logged in
2. Click 'Signup / Login'
3. Enter Name and the already registered email
4. Click Signup</t>
  </si>
  <si>
    <t>Name: Test User; Email: &lt;email used in TC01&gt;</t>
  </si>
  <si>
    <t>Error 'Email Address already exist!' is displayed</t>
  </si>
  <si>
    <t>Passed</t>
  </si>
  <si>
    <t>TC04</t>
  </si>
  <si>
    <t>Login</t>
  </si>
  <si>
    <t>Verify login with valid credentials</t>
  </si>
  <si>
    <t>Registered account exists</t>
  </si>
  <si>
    <t>1. Click 'Signup / Login'
2. Enter registered email and password under 'Login to your account'
3. Click Login</t>
  </si>
  <si>
    <t>Email: &lt;TC01 email&gt;; Password: Test@1234</t>
  </si>
  <si>
    <t>User is logged in; 'Logged in as &lt;name&gt;' appears in the header</t>
  </si>
  <si>
    <t>TC05</t>
  </si>
  <si>
    <t>Verify login with an invalid email</t>
  </si>
  <si>
    <t>Login page is displayed</t>
  </si>
  <si>
    <t>1. Enter an unregistered email in valid format
2. Enter any password
3. Click Login</t>
  </si>
  <si>
    <t>Email: wrong.user@example.com; Password: Test@1234</t>
  </si>
  <si>
    <t>Error 'Your email or password is incorrect!' is displayed</t>
  </si>
  <si>
    <t>Failed</t>
  </si>
  <si>
    <t>TC06</t>
  </si>
  <si>
    <t>Verify login with an invalid password</t>
  </si>
  <si>
    <t>1. Enter the registered email
2. Enter a wrong password
3. Click Login</t>
  </si>
  <si>
    <t>Email: &lt;TC01 email&gt;; Password: Wrong@123</t>
  </si>
  <si>
    <t>TC07</t>
  </si>
  <si>
    <t>Blocked</t>
  </si>
  <si>
    <t>Verify login with a blank username (email)</t>
  </si>
  <si>
    <t>1. Leave the email field blank
2. Enter a password
3. Click Login</t>
  </si>
  <si>
    <t>Email: (blank); Password: Test@1234</t>
  </si>
  <si>
    <t>Browser message 'Please fill out this field.' is shown and login does not proceed</t>
  </si>
  <si>
    <t>TC08</t>
  </si>
  <si>
    <t>Verify logout</t>
  </si>
  <si>
    <t>Not Executed</t>
  </si>
  <si>
    <t>User is logged in</t>
  </si>
  <si>
    <t>1. Log in with valid credentials
2. Click 'Logout' in the top menu</t>
  </si>
  <si>
    <t>Valid credentials</t>
  </si>
  <si>
    <t>User is returned to the Login page ('Login to your account')</t>
  </si>
  <si>
    <t>Pass %</t>
  </si>
  <si>
    <t>Testing Strategy</t>
  </si>
  <si>
    <t>Test Level / Type</t>
  </si>
  <si>
    <t>Technique</t>
  </si>
  <si>
    <t>Tool</t>
  </si>
  <si>
    <t>Responsibility</t>
  </si>
  <si>
    <t>System Testing</t>
  </si>
  <si>
    <t>Black Box</t>
  </si>
  <si>
    <t>Chrome browser</t>
  </si>
  <si>
    <t>[Your Name]</t>
  </si>
  <si>
    <t>Requirement Traceability Matrix (RTM)</t>
  </si>
  <si>
    <t>Functional Testing</t>
  </si>
  <si>
    <t>Equivalence Partitioning</t>
  </si>
  <si>
    <t>Google Sheet test cases</t>
  </si>
  <si>
    <t>Negative Testing</t>
  </si>
  <si>
    <t>Invalid / blank inputs</t>
  </si>
  <si>
    <t>Requirement ID</t>
  </si>
  <si>
    <t>Requirement Description</t>
  </si>
  <si>
    <t>Regression Testing</t>
  </si>
  <si>
    <t>Re-run of login cases</t>
  </si>
  <si>
    <t>Test Case ID</t>
  </si>
  <si>
    <t>Status</t>
  </si>
  <si>
    <t>R001</t>
  </si>
  <si>
    <t>A new user can register with valid details</t>
  </si>
  <si>
    <t>R002</t>
  </si>
  <si>
    <t>Invalid email format is rejected during signup</t>
  </si>
  <si>
    <t>R003</t>
  </si>
  <si>
    <t>An existing email cannot be registered again</t>
  </si>
  <si>
    <t>R004</t>
  </si>
  <si>
    <t>A registered user can log in with valid credentials</t>
  </si>
  <si>
    <t>R005</t>
  </si>
  <si>
    <t>Login is rejected for an invalid email</t>
  </si>
  <si>
    <t>R006</t>
  </si>
  <si>
    <t>Login is rejected for an invalid password</t>
  </si>
  <si>
    <t>R007</t>
  </si>
  <si>
    <t>Mandatory fields are validated</t>
  </si>
  <si>
    <t>R008</t>
  </si>
  <si>
    <t>A logged-in user can log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</si>
</sst>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3.0"/>
      <color theme="1"/>
      <name val="Arial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1" t="s">
        <v>1</v>
      </c>
    </row>
    <row r="2">
      <c r="A2" s="3" t="s">
        <v>4</v>
      </c>
    </row>
    <row r="4" ht="30.0" customHeight="1">
      <c r="A4" s="4" t="s">
        <v>8</v>
      </c>
      <c r="B4" s="4" t="s">
        <v>11</v>
      </c>
      <c r="C4" s="4" t="s">
        <v>12</v>
      </c>
      <c r="D4" s="4" t="s">
        <v>14</v>
      </c>
      <c r="E4" s="4" t="s">
        <v>15</v>
      </c>
      <c r="F4" s="4" t="s">
        <v>17</v>
      </c>
      <c r="G4" s="4" t="s">
        <v>19</v>
      </c>
      <c r="H4" s="4" t="s">
        <v>21</v>
      </c>
    </row>
    <row r="5" ht="111.75" customHeight="1">
      <c r="A5" s="6" t="s">
        <v>26</v>
      </c>
      <c r="B5" s="5" t="s">
        <v>33</v>
      </c>
      <c r="C5" s="5" t="s">
        <v>34</v>
      </c>
      <c r="D5" s="5" t="s">
        <v>36</v>
      </c>
      <c r="E5" s="5" t="s">
        <v>38</v>
      </c>
      <c r="F5" s="5" t="s">
        <v>40</v>
      </c>
      <c r="G5" s="5" t="s">
        <v>42</v>
      </c>
      <c r="H5" s="8" t="s">
        <v>50</v>
      </c>
    </row>
    <row r="6" ht="57.75" customHeight="1">
      <c r="A6" s="6" t="s">
        <v>64</v>
      </c>
      <c r="B6" s="5" t="s">
        <v>33</v>
      </c>
      <c r="C6" s="5" t="s">
        <v>66</v>
      </c>
      <c r="D6" s="5" t="s">
        <v>67</v>
      </c>
      <c r="E6" s="5" t="s">
        <v>68</v>
      </c>
      <c r="F6" s="5" t="s">
        <v>69</v>
      </c>
      <c r="G6" s="5" t="s">
        <v>70</v>
      </c>
      <c r="H6" s="8" t="s">
        <v>50</v>
      </c>
    </row>
    <row r="7" ht="57.75" customHeight="1">
      <c r="A7" s="6" t="s">
        <v>71</v>
      </c>
      <c r="B7" s="5" t="s">
        <v>33</v>
      </c>
      <c r="C7" s="5" t="s">
        <v>72</v>
      </c>
      <c r="D7" s="5" t="s">
        <v>73</v>
      </c>
      <c r="E7" s="5" t="s">
        <v>74</v>
      </c>
      <c r="F7" s="5" t="s">
        <v>75</v>
      </c>
      <c r="G7" s="5" t="s">
        <v>76</v>
      </c>
      <c r="H7" s="8" t="s">
        <v>50</v>
      </c>
    </row>
    <row r="8" ht="57.75" customHeight="1">
      <c r="A8" s="6" t="s">
        <v>78</v>
      </c>
      <c r="B8" s="5" t="s">
        <v>79</v>
      </c>
      <c r="C8" s="5" t="s">
        <v>80</v>
      </c>
      <c r="D8" s="5" t="s">
        <v>81</v>
      </c>
      <c r="E8" s="5" t="s">
        <v>82</v>
      </c>
      <c r="F8" s="5" t="s">
        <v>83</v>
      </c>
      <c r="G8" s="5" t="s">
        <v>84</v>
      </c>
      <c r="H8" s="8" t="s">
        <v>50</v>
      </c>
    </row>
    <row r="9" ht="44.25" customHeight="1">
      <c r="A9" s="6" t="s">
        <v>85</v>
      </c>
      <c r="B9" s="5" t="s">
        <v>79</v>
      </c>
      <c r="C9" s="5" t="s">
        <v>86</v>
      </c>
      <c r="D9" s="5" t="s">
        <v>87</v>
      </c>
      <c r="E9" s="5" t="s">
        <v>88</v>
      </c>
      <c r="F9" s="5" t="s">
        <v>89</v>
      </c>
      <c r="G9" s="5" t="s">
        <v>90</v>
      </c>
      <c r="H9" s="8" t="s">
        <v>50</v>
      </c>
    </row>
    <row r="10" ht="44.25" customHeight="1">
      <c r="A10" s="6" t="s">
        <v>92</v>
      </c>
      <c r="B10" s="5" t="s">
        <v>79</v>
      </c>
      <c r="C10" s="5" t="s">
        <v>93</v>
      </c>
      <c r="D10" s="5" t="s">
        <v>81</v>
      </c>
      <c r="E10" s="5" t="s">
        <v>94</v>
      </c>
      <c r="F10" s="5" t="s">
        <v>95</v>
      </c>
      <c r="G10" s="5" t="s">
        <v>90</v>
      </c>
      <c r="H10" s="8" t="s">
        <v>50</v>
      </c>
    </row>
    <row r="11" ht="44.25" customHeight="1">
      <c r="A11" s="6" t="s">
        <v>96</v>
      </c>
      <c r="B11" s="5" t="s">
        <v>79</v>
      </c>
      <c r="C11" s="5" t="s">
        <v>98</v>
      </c>
      <c r="D11" s="5" t="s">
        <v>87</v>
      </c>
      <c r="E11" s="5" t="s">
        <v>99</v>
      </c>
      <c r="F11" s="5" t="s">
        <v>100</v>
      </c>
      <c r="G11" s="5" t="s">
        <v>101</v>
      </c>
      <c r="H11" s="8" t="s">
        <v>50</v>
      </c>
    </row>
    <row r="12" ht="30.75" customHeight="1">
      <c r="A12" s="6" t="s">
        <v>102</v>
      </c>
      <c r="B12" s="5" t="s">
        <v>51</v>
      </c>
      <c r="C12" s="5" t="s">
        <v>103</v>
      </c>
      <c r="D12" s="5" t="s">
        <v>105</v>
      </c>
      <c r="E12" s="5" t="s">
        <v>106</v>
      </c>
      <c r="F12" s="5" t="s">
        <v>107</v>
      </c>
      <c r="G12" s="5" t="s">
        <v>108</v>
      </c>
      <c r="H12" s="8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H12">
    <cfRule type="cellIs" dxfId="0" priority="1" operator="equal">
      <formula>"Pass"</formula>
    </cfRule>
  </conditionalFormatting>
  <conditionalFormatting sqref="H5:H12">
    <cfRule type="cellIs" dxfId="1" priority="2" operator="equal">
      <formula>"Fail"</formula>
    </cfRule>
  </conditionalFormatting>
  <dataValidations>
    <dataValidation type="list" allowBlank="1" sqref="H5:H12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2" t="s">
        <v>3</v>
      </c>
    </row>
    <row r="3" ht="30.0" customHeight="1">
      <c r="A3" s="4" t="s">
        <v>6</v>
      </c>
      <c r="B3" s="4" t="s">
        <v>25</v>
      </c>
    </row>
    <row r="4">
      <c r="A4" s="7" t="s">
        <v>30</v>
      </c>
      <c r="B4" s="9">
        <f>COUNTA('Test Cases'!$A$5:$A$12)</f>
        <v>8</v>
      </c>
    </row>
    <row r="5">
      <c r="A5" s="7" t="s">
        <v>77</v>
      </c>
      <c r="B5" s="9">
        <f>COUNTIF('Test Cases'!$H$5:$H$12,"Pass")</f>
        <v>8</v>
      </c>
    </row>
    <row r="6">
      <c r="A6" s="7" t="s">
        <v>91</v>
      </c>
      <c r="B6" s="9">
        <f>COUNTIF('Test Cases'!$H$5:$H$12,"Fail")</f>
        <v>0</v>
      </c>
    </row>
    <row r="7">
      <c r="A7" s="7" t="s">
        <v>97</v>
      </c>
      <c r="B7" s="9">
        <f>COUNTIF('Test Cases'!$H$5:$H$12,"Blocked")</f>
        <v>0</v>
      </c>
    </row>
    <row r="8">
      <c r="A8" s="7" t="s">
        <v>104</v>
      </c>
      <c r="B8" s="9">
        <f>B4-B5-B6-B7</f>
        <v>0</v>
      </c>
    </row>
    <row r="9">
      <c r="A9" s="7" t="s">
        <v>109</v>
      </c>
      <c r="B9" s="10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100.0"/>
    <col customWidth="1" min="3" max="26" width="8.71"/>
  </cols>
  <sheetData>
    <row r="1">
      <c r="A1" s="2" t="s">
        <v>2</v>
      </c>
    </row>
    <row r="3" ht="30.0" customHeight="1">
      <c r="A3" s="4" t="s">
        <v>5</v>
      </c>
      <c r="B3" s="4" t="s">
        <v>9</v>
      </c>
    </row>
    <row r="4" ht="18.0" customHeight="1">
      <c r="A4" s="5" t="s">
        <v>10</v>
      </c>
      <c r="B4" s="5" t="s">
        <v>13</v>
      </c>
    </row>
    <row r="5" ht="18.0" customHeight="1">
      <c r="A5" s="5" t="s">
        <v>16</v>
      </c>
      <c r="B5" s="5" t="s">
        <v>18</v>
      </c>
    </row>
    <row r="6" ht="18.0" customHeight="1">
      <c r="A6" s="5" t="s">
        <v>20</v>
      </c>
      <c r="B6" s="5" t="s">
        <v>22</v>
      </c>
    </row>
    <row r="7" ht="18.0" customHeight="1">
      <c r="A7" s="5" t="s">
        <v>23</v>
      </c>
      <c r="B7" s="5" t="s">
        <v>24</v>
      </c>
    </row>
    <row r="8" ht="18.0" customHeight="1">
      <c r="A8" s="5" t="s">
        <v>27</v>
      </c>
      <c r="B8" s="5" t="s">
        <v>28</v>
      </c>
    </row>
    <row r="9" ht="18.0" customHeight="1">
      <c r="A9" s="5" t="s">
        <v>29</v>
      </c>
      <c r="B9" s="5" t="s">
        <v>32</v>
      </c>
    </row>
    <row r="10" ht="18.0" customHeight="1">
      <c r="A10" s="5" t="s">
        <v>17</v>
      </c>
      <c r="B10" s="5" t="s">
        <v>35</v>
      </c>
    </row>
    <row r="11" ht="18.0" customHeight="1">
      <c r="A11" s="5" t="s">
        <v>37</v>
      </c>
      <c r="B11" s="5" t="s">
        <v>39</v>
      </c>
    </row>
    <row r="12" ht="18.0" customHeight="1">
      <c r="A12" s="5" t="s">
        <v>43</v>
      </c>
      <c r="B12" s="5" t="s">
        <v>45</v>
      </c>
    </row>
    <row r="13" ht="18.0" customHeight="1">
      <c r="A13" s="5" t="s">
        <v>47</v>
      </c>
      <c r="B13" s="5" t="s">
        <v>49</v>
      </c>
    </row>
    <row r="14" ht="18.0" customHeight="1">
      <c r="A14" s="5" t="s">
        <v>52</v>
      </c>
      <c r="B14" s="5" t="s">
        <v>54</v>
      </c>
    </row>
    <row r="15" ht="18.0" customHeight="1">
      <c r="A15" s="5" t="s">
        <v>56</v>
      </c>
      <c r="B15" s="5" t="s">
        <v>58</v>
      </c>
    </row>
    <row r="16" ht="18.0" customHeight="1">
      <c r="A16" s="5" t="s">
        <v>60</v>
      </c>
      <c r="B16" s="5" t="s">
        <v>62</v>
      </c>
    </row>
    <row r="17" ht="18.0" customHeight="1">
      <c r="A17" s="5" t="s">
        <v>63</v>
      </c>
      <c r="B17" s="5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55.0"/>
    <col customWidth="1" min="3" max="26" width="8.71"/>
  </cols>
  <sheetData>
    <row r="1">
      <c r="A1" s="2" t="s">
        <v>0</v>
      </c>
    </row>
    <row r="3" ht="30.0" customHeight="1">
      <c r="A3" s="4" t="s">
        <v>7</v>
      </c>
      <c r="B3" s="4" t="s">
        <v>31</v>
      </c>
    </row>
    <row r="4" ht="18.0" customHeight="1">
      <c r="A4" s="5" t="s">
        <v>41</v>
      </c>
      <c r="B4" s="5" t="s">
        <v>44</v>
      </c>
    </row>
    <row r="5" ht="18.0" customHeight="1">
      <c r="A5" s="5" t="s">
        <v>46</v>
      </c>
      <c r="B5" s="5" t="s">
        <v>48</v>
      </c>
    </row>
    <row r="6" ht="18.0" customHeight="1">
      <c r="A6" s="5" t="s">
        <v>51</v>
      </c>
      <c r="B6" s="5" t="s">
        <v>53</v>
      </c>
    </row>
    <row r="7" ht="18.0" customHeight="1">
      <c r="A7" s="5" t="s">
        <v>55</v>
      </c>
      <c r="B7" s="5" t="s">
        <v>57</v>
      </c>
    </row>
    <row r="8" ht="18.0" customHeight="1">
      <c r="A8" s="5" t="s">
        <v>59</v>
      </c>
      <c r="B8" s="5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3" width="28.0"/>
    <col customWidth="1" min="4" max="4" width="22.0"/>
    <col customWidth="1" min="5" max="26" width="8.71"/>
  </cols>
  <sheetData>
    <row r="1">
      <c r="A1" s="2" t="s">
        <v>110</v>
      </c>
    </row>
    <row r="3" ht="30.0" customHeight="1">
      <c r="A3" s="4" t="s">
        <v>111</v>
      </c>
      <c r="B3" s="4" t="s">
        <v>112</v>
      </c>
      <c r="C3" s="4" t="s">
        <v>113</v>
      </c>
      <c r="D3" s="4" t="s">
        <v>114</v>
      </c>
    </row>
    <row r="4" ht="18.0" customHeight="1">
      <c r="A4" s="5" t="s">
        <v>115</v>
      </c>
      <c r="B4" s="5" t="s">
        <v>116</v>
      </c>
      <c r="C4" s="5" t="s">
        <v>117</v>
      </c>
      <c r="D4" s="5" t="s">
        <v>118</v>
      </c>
    </row>
    <row r="5" ht="18.0" customHeight="1">
      <c r="A5" s="5" t="s">
        <v>120</v>
      </c>
      <c r="B5" s="5" t="s">
        <v>121</v>
      </c>
      <c r="C5" s="5" t="s">
        <v>122</v>
      </c>
      <c r="D5" s="5" t="s">
        <v>118</v>
      </c>
    </row>
    <row r="6" ht="18.0" customHeight="1">
      <c r="A6" s="5" t="s">
        <v>123</v>
      </c>
      <c r="B6" s="5" t="s">
        <v>124</v>
      </c>
      <c r="C6" s="5" t="s">
        <v>117</v>
      </c>
      <c r="D6" s="5" t="s">
        <v>118</v>
      </c>
    </row>
    <row r="7" ht="18.0" customHeight="1">
      <c r="A7" s="5" t="s">
        <v>127</v>
      </c>
      <c r="B7" s="5" t="s">
        <v>128</v>
      </c>
      <c r="C7" s="5" t="s">
        <v>122</v>
      </c>
      <c r="D7" s="5" t="s">
        <v>118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62.0"/>
    <col customWidth="1" min="3" max="3" width="14.0"/>
    <col customWidth="1" min="4" max="4" width="12.0"/>
    <col customWidth="1" min="5" max="26" width="8.71"/>
  </cols>
  <sheetData>
    <row r="1">
      <c r="A1" s="2" t="s">
        <v>119</v>
      </c>
    </row>
    <row r="3" ht="30.0" customHeight="1">
      <c r="A3" s="4" t="s">
        <v>125</v>
      </c>
      <c r="B3" s="4" t="s">
        <v>126</v>
      </c>
      <c r="C3" s="4" t="s">
        <v>129</v>
      </c>
      <c r="D3" s="4" t="s">
        <v>130</v>
      </c>
    </row>
    <row r="4" ht="18.0" customHeight="1">
      <c r="A4" s="5" t="s">
        <v>131</v>
      </c>
      <c r="B4" s="5" t="s">
        <v>132</v>
      </c>
      <c r="C4" s="5" t="s">
        <v>26</v>
      </c>
      <c r="D4" s="5" t="str">
        <f t="array" ref="D4">IFERROR(IF(INDEX('Test Cases'!$H$5:$H$12,MATCH(C4,'Test Cases'!$A$5:$A$12,0))="","Not Run",INDEX('Test Cases'!$H$5:$H$12,MATCH(C4,'Test Cases'!$A$5:$A$12,0))),"Not Run")</f>
        <v>Pass</v>
      </c>
    </row>
    <row r="5" ht="18.0" customHeight="1">
      <c r="A5" s="5" t="s">
        <v>133</v>
      </c>
      <c r="B5" s="5" t="s">
        <v>134</v>
      </c>
      <c r="C5" s="5" t="s">
        <v>64</v>
      </c>
      <c r="D5" s="5" t="str">
        <f t="array" ref="D5">IFERROR(IF(INDEX('Test Cases'!$H$5:$H$12,MATCH(C5,'Test Cases'!$A$5:$A$12,0))="","Not Run",INDEX('Test Cases'!$H$5:$H$12,MATCH(C5,'Test Cases'!$A$5:$A$12,0))),"Not Run")</f>
        <v>Pass</v>
      </c>
    </row>
    <row r="6" ht="18.0" customHeight="1">
      <c r="A6" s="5" t="s">
        <v>135</v>
      </c>
      <c r="B6" s="5" t="s">
        <v>136</v>
      </c>
      <c r="C6" s="5" t="s">
        <v>71</v>
      </c>
      <c r="D6" s="5" t="str">
        <f t="array" ref="D6">IFERROR(IF(INDEX('Test Cases'!$H$5:$H$12,MATCH(C6,'Test Cases'!$A$5:$A$12,0))="","Not Run",INDEX('Test Cases'!$H$5:$H$12,MATCH(C6,'Test Cases'!$A$5:$A$12,0))),"Not Run")</f>
        <v>Pass</v>
      </c>
    </row>
    <row r="7" ht="18.0" customHeight="1">
      <c r="A7" s="5" t="s">
        <v>137</v>
      </c>
      <c r="B7" s="5" t="s">
        <v>138</v>
      </c>
      <c r="C7" s="5" t="s">
        <v>78</v>
      </c>
      <c r="D7" s="5" t="str">
        <f t="array" ref="D7">IFERROR(IF(INDEX('Test Cases'!$H$5:$H$12,MATCH(C7,'Test Cases'!$A$5:$A$12,0))="","Not Run",INDEX('Test Cases'!$H$5:$H$12,MATCH(C7,'Test Cases'!$A$5:$A$12,0))),"Not Run")</f>
        <v>Pass</v>
      </c>
    </row>
    <row r="8" ht="18.0" customHeight="1">
      <c r="A8" s="5" t="s">
        <v>139</v>
      </c>
      <c r="B8" s="5" t="s">
        <v>140</v>
      </c>
      <c r="C8" s="5" t="s">
        <v>85</v>
      </c>
      <c r="D8" s="5" t="str">
        <f t="array" ref="D8">IFERROR(IF(INDEX('Test Cases'!$H$5:$H$12,MATCH(C8,'Test Cases'!$A$5:$A$12,0))="","Not Run",INDEX('Test Cases'!$H$5:$H$12,MATCH(C8,'Test Cases'!$A$5:$A$12,0))),"Not Run")</f>
        <v>Pass</v>
      </c>
    </row>
    <row r="9" ht="18.0" customHeight="1">
      <c r="A9" s="5" t="s">
        <v>141</v>
      </c>
      <c r="B9" s="5" t="s">
        <v>142</v>
      </c>
      <c r="C9" s="5" t="s">
        <v>92</v>
      </c>
      <c r="D9" s="5" t="str">
        <f t="array" ref="D9">IFERROR(IF(INDEX('Test Cases'!$H$5:$H$12,MATCH(C9,'Test Cases'!$A$5:$A$12,0))="","Not Run",INDEX('Test Cases'!$H$5:$H$12,MATCH(C9,'Test Cases'!$A$5:$A$12,0))),"Not Run")</f>
        <v>Pass</v>
      </c>
    </row>
    <row r="10" ht="18.0" customHeight="1">
      <c r="A10" s="5" t="s">
        <v>143</v>
      </c>
      <c r="B10" s="5" t="s">
        <v>144</v>
      </c>
      <c r="C10" s="5" t="s">
        <v>96</v>
      </c>
      <c r="D10" s="5" t="str">
        <f t="array" ref="D10">IFERROR(IF(INDEX('Test Cases'!$H$5:$H$12,MATCH(C10,'Test Cases'!$A$5:$A$12,0))="","Not Run",INDEX('Test Cases'!$H$5:$H$12,MATCH(C10,'Test Cases'!$A$5:$A$12,0))),"Not Run")</f>
        <v>Pass</v>
      </c>
    </row>
    <row r="11" ht="18.0" customHeight="1">
      <c r="A11" s="5" t="s">
        <v>145</v>
      </c>
      <c r="B11" s="5" t="s">
        <v>146</v>
      </c>
      <c r="C11" s="5" t="s">
        <v>102</v>
      </c>
      <c r="D11" s="5" t="str">
        <f t="array" ref="D11">IFERROR(IF(INDEX('Test Cases'!$H$5:$H$12,MATCH(C11,'Test Cases'!$A$5:$A$12,0))="","Not Run",INDEX('Test Cases'!$H$5:$H$12,MATCH(C11,'Test Cases'!$A$5:$A$12,0))),"Not Run")</f>
        <v>Pass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2026-10-22T12:56:14Z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