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UB2zt4lzuOAkD4JI7EoWo7tnk//K7mkKf0H2vvTsCzA="/>
    </ext>
  </extLst>
</workbook>
</file>

<file path=xl/sharedStrings.xml><?xml version="1.0" encoding="utf-8"?>
<sst xmlns="http://schemas.openxmlformats.org/spreadsheetml/2006/main" count="115" uniqueCount="88">
  <si>
    <t>Test Execution Summary</t>
  </si>
  <si>
    <t>Tutorial 6 - Manual Test Execution  |  Website: DemoBlaze  (https://www.demoblaze.com)</t>
  </si>
  <si>
    <t>Tester: Kothari Mann Jitendrakumar  |   Enrollment No: 2504030100433</t>
  </si>
  <si>
    <t>Metric</t>
  </si>
  <si>
    <t>TC ID</t>
  </si>
  <si>
    <t>Value</t>
  </si>
  <si>
    <t>Test Scenario</t>
  </si>
  <si>
    <t>Test Case</t>
  </si>
  <si>
    <t>Total Test Cases</t>
  </si>
  <si>
    <t>Preconditions</t>
  </si>
  <si>
    <t>Test Steps</t>
  </si>
  <si>
    <t>Test Data</t>
  </si>
  <si>
    <t>Expected Result</t>
  </si>
  <si>
    <t>Status (after execution)</t>
  </si>
  <si>
    <t>TC01</t>
  </si>
  <si>
    <t>Home</t>
  </si>
  <si>
    <t>Verify the website opens</t>
  </si>
  <si>
    <t>Internet connection available</t>
  </si>
  <si>
    <t>1. Open https://www.demoblaze.com</t>
  </si>
  <si>
    <t>URL: https://www.demoblaze.com</t>
  </si>
  <si>
    <t>Home page loads with the product categories and product list</t>
  </si>
  <si>
    <t>Pass</t>
  </si>
  <si>
    <t>TC02</t>
  </si>
  <si>
    <t>Product</t>
  </si>
  <si>
    <t>Verify a product category can be selected</t>
  </si>
  <si>
    <t>Home page is open</t>
  </si>
  <si>
    <t>1. Click the 'Laptops' category</t>
  </si>
  <si>
    <t>Category: Laptops</t>
  </si>
  <si>
    <t>Laptop products are displayed</t>
  </si>
  <si>
    <t>TC03</t>
  </si>
  <si>
    <t>Verify a product can be selected</t>
  </si>
  <si>
    <t>Passed</t>
  </si>
  <si>
    <t>Laptops are displayed</t>
  </si>
  <si>
    <t>1. Click 'Sony vaio i5'</t>
  </si>
  <si>
    <t>Product: Sony vaio i5</t>
  </si>
  <si>
    <t>Product page opens</t>
  </si>
  <si>
    <t>TC04</t>
  </si>
  <si>
    <t>Verify the product details</t>
  </si>
  <si>
    <t>Product page is open</t>
  </si>
  <si>
    <t>1. Check name, price, description and 'Add to cart' button</t>
  </si>
  <si>
    <t>Product name, price, description and Add to cart button are displayed</t>
  </si>
  <si>
    <t>TC05</t>
  </si>
  <si>
    <t>Cart</t>
  </si>
  <si>
    <t>Verify a product can be added to the cart</t>
  </si>
  <si>
    <t>1. Click 'Add to cart'
2. Accept the alert</t>
  </si>
  <si>
    <t>Alert 'Product added' is displayed</t>
  </si>
  <si>
    <t>TC06</t>
  </si>
  <si>
    <t>Verify the cart page opens</t>
  </si>
  <si>
    <t>Failed</t>
  </si>
  <si>
    <t>Product added to cart</t>
  </si>
  <si>
    <t>1. Click 'Cart'</t>
  </si>
  <si>
    <t>-</t>
  </si>
  <si>
    <t>Cart page opens</t>
  </si>
  <si>
    <t>TC07</t>
  </si>
  <si>
    <t>Verify product and total in the cart</t>
  </si>
  <si>
    <t>Cart page is open</t>
  </si>
  <si>
    <t>1. Check the product title, price and Total</t>
  </si>
  <si>
    <t>Product and price are listed and Total equals the price</t>
  </si>
  <si>
    <t>TC08</t>
  </si>
  <si>
    <t>Order</t>
  </si>
  <si>
    <t>Verify the Place Order form opens</t>
  </si>
  <si>
    <t>1. Click 'Place Order'</t>
  </si>
  <si>
    <t>Blocked</t>
  </si>
  <si>
    <t>Place Order form opens with Name, Country, City, Credit card, Month and Year fields</t>
  </si>
  <si>
    <t>TC09</t>
  </si>
  <si>
    <t>Verify order with blank customer details</t>
  </si>
  <si>
    <t>Place Order form is open</t>
  </si>
  <si>
    <t>1. Leave all fields blank
2. Click 'Purchase'</t>
  </si>
  <si>
    <t>All fields blank</t>
  </si>
  <si>
    <t>Alert 'Please fill out Name and Creditcard.' is displayed</t>
  </si>
  <si>
    <t>TC10</t>
  </si>
  <si>
    <t>Verify customer details can be entered</t>
  </si>
  <si>
    <t>Not Executed</t>
  </si>
  <si>
    <t>1. Enter Name, Country, City, Credit card, Month and Year</t>
  </si>
  <si>
    <t>Name: Test User; Country: India; City: Ahmedabad; Card: 4111111111111111; Month: 12; Year: 2028</t>
  </si>
  <si>
    <t>All fields accept the entered values</t>
  </si>
  <si>
    <t>TC11</t>
  </si>
  <si>
    <t>Verify the order can be submitted</t>
  </si>
  <si>
    <t>Details are entered</t>
  </si>
  <si>
    <t>1. Click 'Purchase'</t>
  </si>
  <si>
    <t>Details from TC10</t>
  </si>
  <si>
    <t>'Thank you for your purchase!' confirmation with order Id and Amount is displayed</t>
  </si>
  <si>
    <t>TC12</t>
  </si>
  <si>
    <t>Verify the order confirmation closes</t>
  </si>
  <si>
    <t>Confirmation is displayed</t>
  </si>
  <si>
    <t>1. Click 'OK'</t>
  </si>
  <si>
    <t>User returns to the home page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</si>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</sst>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2</v>
      </c>
    </row>
    <row r="4" ht="30.0" customHeight="1">
      <c r="A4" s="4" t="s">
        <v>4</v>
      </c>
      <c r="B4" s="4" t="s">
        <v>6</v>
      </c>
      <c r="C4" s="4" t="s">
        <v>7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</row>
    <row r="5" ht="30.75" customHeight="1">
      <c r="A5" s="6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8" t="s">
        <v>21</v>
      </c>
    </row>
    <row r="6" ht="30.75" customHeight="1">
      <c r="A6" s="6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8" t="s">
        <v>21</v>
      </c>
    </row>
    <row r="7" ht="18.0" customHeight="1">
      <c r="A7" s="6" t="s">
        <v>29</v>
      </c>
      <c r="B7" s="7" t="s">
        <v>23</v>
      </c>
      <c r="C7" s="7" t="s">
        <v>30</v>
      </c>
      <c r="D7" s="7" t="s">
        <v>32</v>
      </c>
      <c r="E7" s="7" t="s">
        <v>33</v>
      </c>
      <c r="F7" s="7" t="s">
        <v>34</v>
      </c>
      <c r="G7" s="7" t="s">
        <v>35</v>
      </c>
      <c r="H7" s="8" t="s">
        <v>21</v>
      </c>
    </row>
    <row r="8" ht="30.75" customHeight="1">
      <c r="A8" s="6" t="s">
        <v>36</v>
      </c>
      <c r="B8" s="7" t="s">
        <v>23</v>
      </c>
      <c r="C8" s="7" t="s">
        <v>37</v>
      </c>
      <c r="D8" s="7" t="s">
        <v>38</v>
      </c>
      <c r="E8" s="7" t="s">
        <v>39</v>
      </c>
      <c r="F8" s="7" t="s">
        <v>34</v>
      </c>
      <c r="G8" s="7" t="s">
        <v>40</v>
      </c>
      <c r="H8" s="8" t="s">
        <v>21</v>
      </c>
    </row>
    <row r="9" ht="30.75" customHeight="1">
      <c r="A9" s="6" t="s">
        <v>41</v>
      </c>
      <c r="B9" s="7" t="s">
        <v>42</v>
      </c>
      <c r="C9" s="7" t="s">
        <v>43</v>
      </c>
      <c r="D9" s="7" t="s">
        <v>38</v>
      </c>
      <c r="E9" s="7" t="s">
        <v>44</v>
      </c>
      <c r="F9" s="7" t="s">
        <v>34</v>
      </c>
      <c r="G9" s="7" t="s">
        <v>45</v>
      </c>
      <c r="H9" s="8" t="s">
        <v>21</v>
      </c>
    </row>
    <row r="10" ht="18.0" customHeight="1">
      <c r="A10" s="6" t="s">
        <v>46</v>
      </c>
      <c r="B10" s="7" t="s">
        <v>42</v>
      </c>
      <c r="C10" s="7" t="s">
        <v>47</v>
      </c>
      <c r="D10" s="7" t="s">
        <v>49</v>
      </c>
      <c r="E10" s="7" t="s">
        <v>50</v>
      </c>
      <c r="F10" s="7" t="s">
        <v>51</v>
      </c>
      <c r="G10" s="7" t="s">
        <v>52</v>
      </c>
      <c r="H10" s="8" t="s">
        <v>21</v>
      </c>
    </row>
    <row r="11" ht="30.75" customHeight="1">
      <c r="A11" s="6" t="s">
        <v>53</v>
      </c>
      <c r="B11" s="7" t="s">
        <v>42</v>
      </c>
      <c r="C11" s="7" t="s">
        <v>54</v>
      </c>
      <c r="D11" s="7" t="s">
        <v>55</v>
      </c>
      <c r="E11" s="7" t="s">
        <v>56</v>
      </c>
      <c r="F11" s="7" t="s">
        <v>34</v>
      </c>
      <c r="G11" s="7" t="s">
        <v>57</v>
      </c>
      <c r="H11" s="8" t="s">
        <v>21</v>
      </c>
    </row>
    <row r="12" ht="30.75" customHeight="1">
      <c r="A12" s="6" t="s">
        <v>58</v>
      </c>
      <c r="B12" s="7" t="s">
        <v>59</v>
      </c>
      <c r="C12" s="7" t="s">
        <v>60</v>
      </c>
      <c r="D12" s="7" t="s">
        <v>55</v>
      </c>
      <c r="E12" s="7" t="s">
        <v>61</v>
      </c>
      <c r="F12" s="7" t="s">
        <v>51</v>
      </c>
      <c r="G12" s="7" t="s">
        <v>63</v>
      </c>
      <c r="H12" s="8" t="s">
        <v>21</v>
      </c>
    </row>
    <row r="13" ht="30.75" customHeight="1">
      <c r="A13" s="6" t="s">
        <v>64</v>
      </c>
      <c r="B13" s="7" t="s">
        <v>59</v>
      </c>
      <c r="C13" s="7" t="s">
        <v>65</v>
      </c>
      <c r="D13" s="7" t="s">
        <v>66</v>
      </c>
      <c r="E13" s="7" t="s">
        <v>67</v>
      </c>
      <c r="F13" s="7" t="s">
        <v>68</v>
      </c>
      <c r="G13" s="7" t="s">
        <v>69</v>
      </c>
      <c r="H13" s="8" t="s">
        <v>21</v>
      </c>
    </row>
    <row r="14" ht="44.25" customHeight="1">
      <c r="A14" s="6" t="s">
        <v>70</v>
      </c>
      <c r="B14" s="7" t="s">
        <v>59</v>
      </c>
      <c r="C14" s="7" t="s">
        <v>71</v>
      </c>
      <c r="D14" s="7" t="s">
        <v>66</v>
      </c>
      <c r="E14" s="7" t="s">
        <v>73</v>
      </c>
      <c r="F14" s="7" t="s">
        <v>74</v>
      </c>
      <c r="G14" s="7" t="s">
        <v>75</v>
      </c>
      <c r="H14" s="8" t="s">
        <v>21</v>
      </c>
    </row>
    <row r="15" ht="30.75" customHeight="1">
      <c r="A15" s="6" t="s">
        <v>76</v>
      </c>
      <c r="B15" s="7" t="s">
        <v>59</v>
      </c>
      <c r="C15" s="7" t="s">
        <v>77</v>
      </c>
      <c r="D15" s="7" t="s">
        <v>78</v>
      </c>
      <c r="E15" s="7" t="s">
        <v>79</v>
      </c>
      <c r="F15" s="7" t="s">
        <v>80</v>
      </c>
      <c r="G15" s="7" t="s">
        <v>81</v>
      </c>
      <c r="H15" s="8" t="s">
        <v>21</v>
      </c>
    </row>
    <row r="16" ht="18.0" customHeight="1">
      <c r="A16" s="6" t="s">
        <v>82</v>
      </c>
      <c r="B16" s="7" t="s">
        <v>59</v>
      </c>
      <c r="C16" s="7" t="s">
        <v>83</v>
      </c>
      <c r="D16" s="7" t="s">
        <v>84</v>
      </c>
      <c r="E16" s="7" t="s">
        <v>85</v>
      </c>
      <c r="F16" s="7" t="s">
        <v>51</v>
      </c>
      <c r="G16" s="7" t="s">
        <v>86</v>
      </c>
      <c r="H16" s="8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16">
    <cfRule type="cellIs" dxfId="0" priority="1" operator="equal">
      <formula>"Pass"</formula>
    </cfRule>
  </conditionalFormatting>
  <conditionalFormatting sqref="H5:H16">
    <cfRule type="cellIs" dxfId="1" priority="2" operator="equal">
      <formula>"Fail"</formula>
    </cfRule>
  </conditionalFormatting>
  <dataValidations>
    <dataValidation type="list" allowBlank="1" sqref="H5:H16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3</v>
      </c>
      <c r="B3" s="4" t="s">
        <v>5</v>
      </c>
    </row>
    <row r="4">
      <c r="A4" s="5" t="s">
        <v>8</v>
      </c>
      <c r="B4" s="9">
        <f>COUNTA('Test Cases'!$A$5:$A$16)</f>
        <v>12</v>
      </c>
    </row>
    <row r="5">
      <c r="A5" s="5" t="s">
        <v>31</v>
      </c>
      <c r="B5" s="9">
        <f>COUNTIF('Test Cases'!$H$5:$H$16,"Pass")</f>
        <v>12</v>
      </c>
    </row>
    <row r="6">
      <c r="A6" s="5" t="s">
        <v>48</v>
      </c>
      <c r="B6" s="9">
        <f>COUNTIF('Test Cases'!$H$5:$H$16,"Fail")</f>
        <v>0</v>
      </c>
    </row>
    <row r="7">
      <c r="A7" s="5" t="s">
        <v>62</v>
      </c>
      <c r="B7" s="9">
        <f>COUNTIF('Test Cases'!$H$5:$H$16,"Blocked")</f>
        <v>0</v>
      </c>
    </row>
    <row r="8">
      <c r="A8" s="5" t="s">
        <v>72</v>
      </c>
      <c r="B8" s="9">
        <f>B4-B5-B6-B7</f>
        <v>0</v>
      </c>
    </row>
    <row r="9">
      <c r="A9" s="5" t="s">
        <v>87</v>
      </c>
      <c r="B9" s="10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