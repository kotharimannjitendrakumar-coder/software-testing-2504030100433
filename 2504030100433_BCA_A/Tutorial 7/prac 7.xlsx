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Equivalence Classes" sheetId="3" r:id="rId6"/>
    <sheet state="visible" name="BVA Table" sheetId="4" r:id="rId7"/>
    <sheet state="visible" name="Alternative BVA" sheetId="5" r:id="rId8"/>
  </sheets>
  <definedNames/>
  <calcPr/>
  <extLst>
    <ext uri="GoogleSheetsCustomDataVersion2">
      <go:sheetsCustomData xmlns:go="http://customooxmlschemas.google.com/" r:id="rId9" roundtripDataChecksum="MGqLTW4f9519vT0PPqhZ6OaKBn73DwbLqaM4EUgNMQQ="/>
    </ext>
  </extLst>
</workbook>
</file>

<file path=xl/sharedStrings.xml><?xml version="1.0" encoding="utf-8"?>
<sst xmlns="http://schemas.openxmlformats.org/spreadsheetml/2006/main" count="147" uniqueCount="94">
  <si>
    <t>Test Execution Summary</t>
  </si>
  <si>
    <t>Tutorial 7 - BVA &amp; Equivalence Partitioning  |  Website: Selenium Web Form  (https://www.selenium.dev/selenium/web/web-form.html)</t>
  </si>
  <si>
    <t>Boundary Value Analysis (BVA) Table</t>
  </si>
  <si>
    <t>Equivalence Class Table</t>
  </si>
  <si>
    <t>Tester: Kothari Mann Jitendrakumar  |   Enrollment No: 2504030100433</t>
  </si>
  <si>
    <t>Metric</t>
  </si>
  <si>
    <t>Input Field</t>
  </si>
  <si>
    <t>TC ID</t>
  </si>
  <si>
    <t>Value</t>
  </si>
  <si>
    <t>Input Range / Condition</t>
  </si>
  <si>
    <t>Test Scenario</t>
  </si>
  <si>
    <t>Equivalence Class Type</t>
  </si>
  <si>
    <t>Total Test Cases</t>
  </si>
  <si>
    <t>Test Case</t>
  </si>
  <si>
    <t>Test Value</t>
  </si>
  <si>
    <t>Preconditions</t>
  </si>
  <si>
    <t>Test Steps</t>
  </si>
  <si>
    <t>Expected Result</t>
  </si>
  <si>
    <t>Test Data</t>
  </si>
  <si>
    <t>Minimum Value</t>
  </si>
  <si>
    <t>Just Above Minimum</t>
  </si>
  <si>
    <t>Status (after execution)</t>
  </si>
  <si>
    <t>Nominal Value</t>
  </si>
  <si>
    <t>Age</t>
  </si>
  <si>
    <t>Just Below Maximum</t>
  </si>
  <si>
    <t>BVA01</t>
  </si>
  <si>
    <t>Maximum Value</t>
  </si>
  <si>
    <t>Just Above Maximum</t>
  </si>
  <si>
    <t>BVA</t>
  </si>
  <si>
    <t>Below 18</t>
  </si>
  <si>
    <t>Verify age 17 (invalid boundary value)</t>
  </si>
  <si>
    <t>Invalid</t>
  </si>
  <si>
    <t>Web form is open</t>
  </si>
  <si>
    <t>15</t>
  </si>
  <si>
    <t>1. Open the web form
2. Enter 17 in the 'Text input' field (used as Age)
3. Click Submit</t>
  </si>
  <si>
    <t>Age: 17</t>
  </si>
  <si>
    <t>Invalid - value rejected / error shown</t>
  </si>
  <si>
    <t>18 to 60</t>
  </si>
  <si>
    <t>Valid</t>
  </si>
  <si>
    <t>30</t>
  </si>
  <si>
    <t>Above 60</t>
  </si>
  <si>
    <t>65</t>
  </si>
  <si>
    <t>Fail</t>
  </si>
  <si>
    <t>BVA02</t>
  </si>
  <si>
    <t>Verify age 18 (valid boundary value)</t>
  </si>
  <si>
    <t>1. Open the web form
2. Enter 18 in the 'Text input' field (used as Age)
3. Click Submit</t>
  </si>
  <si>
    <t>Age: 18</t>
  </si>
  <si>
    <t>Valid - value accepted</t>
  </si>
  <si>
    <t>Passed</t>
  </si>
  <si>
    <t>BVA03</t>
  </si>
  <si>
    <t>Verify age 19 (valid boundary value)</t>
  </si>
  <si>
    <t>1. Open the web form
2. Enter 19 in the 'Text input' field (used as Age)
3. Click Submit</t>
  </si>
  <si>
    <t>Age: 19</t>
  </si>
  <si>
    <t>BVA04</t>
  </si>
  <si>
    <t>Verify age 59 (valid boundary value)</t>
  </si>
  <si>
    <t>1. Open the web form
2. Enter 59 in the 'Text input' field (used as Age)
3. Click Submit</t>
  </si>
  <si>
    <t>Age: 59</t>
  </si>
  <si>
    <t>BVA05</t>
  </si>
  <si>
    <t>Failed</t>
  </si>
  <si>
    <t>Verify age 60 (valid boundary value)</t>
  </si>
  <si>
    <t>1. Open the web form
2. Enter 60 in the 'Text input' field (used as Age)
3. Click Submit</t>
  </si>
  <si>
    <t>Age: 60</t>
  </si>
  <si>
    <t>BVA06</t>
  </si>
  <si>
    <t>Verify age 61 (invalid boundary value)</t>
  </si>
  <si>
    <t>1. Open the web form
2. Enter 61 in the 'Text input' field (used as Age)
3. Click Submit</t>
  </si>
  <si>
    <t>Age: 61</t>
  </si>
  <si>
    <t>Blocked</t>
  </si>
  <si>
    <t>EP01</t>
  </si>
  <si>
    <t>EP</t>
  </si>
  <si>
    <t>Verify age 15 (below 18)</t>
  </si>
  <si>
    <t>1. Open the web form
2. Enter 15 in the 'Text input' field (used as Age)
3. Click Submit</t>
  </si>
  <si>
    <t>Age: 15</t>
  </si>
  <si>
    <t>EP02</t>
  </si>
  <si>
    <t>Verify age 30 (within 18-60)</t>
  </si>
  <si>
    <t>1. Open the web form
2. Enter 30 in the 'Text input' field (used as Age)
3. Click Submit</t>
  </si>
  <si>
    <t>Age: 30</t>
  </si>
  <si>
    <t>EP03</t>
  </si>
  <si>
    <t>Verify age 65 (above 60)</t>
  </si>
  <si>
    <t>1. Open the web form
2. Enter 65 in the 'Text input' field (used as Age)
3. Click Submit</t>
  </si>
  <si>
    <t>Age: 65</t>
  </si>
  <si>
    <t>Note: The Selenium web form has no real age validation, so values such as 17 or 61 may be ACCEPTED. Record exactly what you see: if an invalid value is accepted, mark the test Fail and report it as a defect. If you prefer a site that really validates age, the instructions allow any other demo website.</t>
  </si>
  <si>
    <t>Not Executed</t>
  </si>
  <si>
    <t>Pass %</t>
  </si>
  <si>
    <t>Alternative BVA Format</t>
  </si>
  <si>
    <t>Boundary Condition</t>
  </si>
  <si>
    <t>Boundary Value</t>
  </si>
  <si>
    <t>Actual Result</t>
  </si>
  <si>
    <t>Status</t>
  </si>
  <si>
    <t>Minimum - 1</t>
  </si>
  <si>
    <t>Minimum</t>
  </si>
  <si>
    <t>Minimum + 1</t>
  </si>
  <si>
    <t>Maximum - 1</t>
  </si>
  <si>
    <t>Maximum</t>
  </si>
  <si>
    <t>Maximum + 1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</si>
</sst>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4</v>
      </c>
    </row>
    <row r="4" ht="30.0" customHeight="1">
      <c r="A4" s="4" t="s">
        <v>7</v>
      </c>
      <c r="B4" s="4" t="s">
        <v>10</v>
      </c>
      <c r="C4" s="4" t="s">
        <v>13</v>
      </c>
      <c r="D4" s="4" t="s">
        <v>15</v>
      </c>
      <c r="E4" s="4" t="s">
        <v>16</v>
      </c>
      <c r="F4" s="4" t="s">
        <v>18</v>
      </c>
      <c r="G4" s="4" t="s">
        <v>17</v>
      </c>
      <c r="H4" s="4" t="s">
        <v>21</v>
      </c>
    </row>
    <row r="5" ht="44.25" customHeight="1">
      <c r="A5" s="6" t="s">
        <v>25</v>
      </c>
      <c r="B5" s="7" t="s">
        <v>28</v>
      </c>
      <c r="C5" s="7" t="s">
        <v>30</v>
      </c>
      <c r="D5" s="7" t="s">
        <v>32</v>
      </c>
      <c r="E5" s="7" t="s">
        <v>34</v>
      </c>
      <c r="F5" s="7" t="s">
        <v>35</v>
      </c>
      <c r="G5" s="7" t="s">
        <v>36</v>
      </c>
      <c r="H5" s="8" t="s">
        <v>42</v>
      </c>
    </row>
    <row r="6" ht="44.25" customHeight="1">
      <c r="A6" s="6" t="s">
        <v>43</v>
      </c>
      <c r="B6" s="7" t="s">
        <v>28</v>
      </c>
      <c r="C6" s="7" t="s">
        <v>44</v>
      </c>
      <c r="D6" s="7" t="s">
        <v>32</v>
      </c>
      <c r="E6" s="7" t="s">
        <v>45</v>
      </c>
      <c r="F6" s="7" t="s">
        <v>46</v>
      </c>
      <c r="G6" s="7" t="s">
        <v>47</v>
      </c>
      <c r="H6" s="8" t="s">
        <v>42</v>
      </c>
    </row>
    <row r="7" ht="44.25" customHeight="1">
      <c r="A7" s="6" t="s">
        <v>49</v>
      </c>
      <c r="B7" s="7" t="s">
        <v>28</v>
      </c>
      <c r="C7" s="7" t="s">
        <v>50</v>
      </c>
      <c r="D7" s="7" t="s">
        <v>32</v>
      </c>
      <c r="E7" s="7" t="s">
        <v>51</v>
      </c>
      <c r="F7" s="7" t="s">
        <v>52</v>
      </c>
      <c r="G7" s="7" t="s">
        <v>47</v>
      </c>
      <c r="H7" s="8" t="s">
        <v>42</v>
      </c>
    </row>
    <row r="8" ht="44.25" customHeight="1">
      <c r="A8" s="6" t="s">
        <v>53</v>
      </c>
      <c r="B8" s="7" t="s">
        <v>28</v>
      </c>
      <c r="C8" s="7" t="s">
        <v>54</v>
      </c>
      <c r="D8" s="7" t="s">
        <v>32</v>
      </c>
      <c r="E8" s="7" t="s">
        <v>55</v>
      </c>
      <c r="F8" s="7" t="s">
        <v>56</v>
      </c>
      <c r="G8" s="7" t="s">
        <v>47</v>
      </c>
      <c r="H8" s="8" t="s">
        <v>42</v>
      </c>
    </row>
    <row r="9" ht="44.25" customHeight="1">
      <c r="A9" s="6" t="s">
        <v>57</v>
      </c>
      <c r="B9" s="7" t="s">
        <v>28</v>
      </c>
      <c r="C9" s="7" t="s">
        <v>59</v>
      </c>
      <c r="D9" s="7" t="s">
        <v>32</v>
      </c>
      <c r="E9" s="7" t="s">
        <v>60</v>
      </c>
      <c r="F9" s="7" t="s">
        <v>61</v>
      </c>
      <c r="G9" s="7" t="s">
        <v>47</v>
      </c>
      <c r="H9" s="8" t="s">
        <v>42</v>
      </c>
    </row>
    <row r="10" ht="44.25" customHeight="1">
      <c r="A10" s="6" t="s">
        <v>62</v>
      </c>
      <c r="B10" s="7" t="s">
        <v>28</v>
      </c>
      <c r="C10" s="7" t="s">
        <v>63</v>
      </c>
      <c r="D10" s="7" t="s">
        <v>32</v>
      </c>
      <c r="E10" s="7" t="s">
        <v>64</v>
      </c>
      <c r="F10" s="7" t="s">
        <v>65</v>
      </c>
      <c r="G10" s="7" t="s">
        <v>36</v>
      </c>
      <c r="H10" s="8" t="s">
        <v>42</v>
      </c>
    </row>
    <row r="11" ht="44.25" customHeight="1">
      <c r="A11" s="6" t="s">
        <v>67</v>
      </c>
      <c r="B11" s="7" t="s">
        <v>68</v>
      </c>
      <c r="C11" s="7" t="s">
        <v>69</v>
      </c>
      <c r="D11" s="7" t="s">
        <v>32</v>
      </c>
      <c r="E11" s="7" t="s">
        <v>70</v>
      </c>
      <c r="F11" s="7" t="s">
        <v>71</v>
      </c>
      <c r="G11" s="7" t="s">
        <v>36</v>
      </c>
      <c r="H11" s="8" t="s">
        <v>42</v>
      </c>
    </row>
    <row r="12" ht="44.25" customHeight="1">
      <c r="A12" s="6" t="s">
        <v>72</v>
      </c>
      <c r="B12" s="7" t="s">
        <v>68</v>
      </c>
      <c r="C12" s="7" t="s">
        <v>73</v>
      </c>
      <c r="D12" s="7" t="s">
        <v>32</v>
      </c>
      <c r="E12" s="7" t="s">
        <v>74</v>
      </c>
      <c r="F12" s="7" t="s">
        <v>75</v>
      </c>
      <c r="G12" s="7" t="s">
        <v>47</v>
      </c>
      <c r="H12" s="8" t="s">
        <v>42</v>
      </c>
    </row>
    <row r="13" ht="44.25" customHeight="1">
      <c r="A13" s="6" t="s">
        <v>76</v>
      </c>
      <c r="B13" s="7" t="s">
        <v>68</v>
      </c>
      <c r="C13" s="7" t="s">
        <v>77</v>
      </c>
      <c r="D13" s="7" t="s">
        <v>32</v>
      </c>
      <c r="E13" s="7" t="s">
        <v>78</v>
      </c>
      <c r="F13" s="7" t="s">
        <v>79</v>
      </c>
      <c r="G13" s="7" t="s">
        <v>36</v>
      </c>
      <c r="H13" s="8" t="s">
        <v>42</v>
      </c>
    </row>
    <row r="15" ht="48.0" customHeight="1">
      <c r="A15" s="10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H15"/>
  </mergeCells>
  <conditionalFormatting sqref="H5:H13">
    <cfRule type="cellIs" dxfId="0" priority="1" operator="equal">
      <formula>"Pass"</formula>
    </cfRule>
  </conditionalFormatting>
  <conditionalFormatting sqref="H5:H13">
    <cfRule type="cellIs" dxfId="1" priority="2" operator="equal">
      <formula>"Fail"</formula>
    </cfRule>
  </conditionalFormatting>
  <dataValidations>
    <dataValidation type="list" allowBlank="1" sqref="H5:H13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5</v>
      </c>
      <c r="B3" s="4" t="s">
        <v>8</v>
      </c>
    </row>
    <row r="4">
      <c r="A4" s="5" t="s">
        <v>12</v>
      </c>
      <c r="B4" s="9">
        <f>COUNTA('Test Cases'!$A$5:$A$13)</f>
        <v>9</v>
      </c>
    </row>
    <row r="5">
      <c r="A5" s="5" t="s">
        <v>48</v>
      </c>
      <c r="B5" s="9">
        <f>COUNTIF('Test Cases'!$H$5:$H$13,"Pass")</f>
        <v>0</v>
      </c>
    </row>
    <row r="6">
      <c r="A6" s="5" t="s">
        <v>58</v>
      </c>
      <c r="B6" s="9">
        <f>COUNTIF('Test Cases'!$H$5:$H$13,"Fail")</f>
        <v>9</v>
      </c>
    </row>
    <row r="7">
      <c r="A7" s="5" t="s">
        <v>66</v>
      </c>
      <c r="B7" s="9">
        <f>COUNTIF('Test Cases'!$H$5:$H$13,"Blocked")</f>
        <v>0</v>
      </c>
    </row>
    <row r="8">
      <c r="A8" s="5" t="s">
        <v>81</v>
      </c>
      <c r="B8" s="9">
        <f>B4-B5-B6-B7</f>
        <v>0</v>
      </c>
    </row>
    <row r="9">
      <c r="A9" s="5" t="s">
        <v>82</v>
      </c>
      <c r="B9" s="11">
        <f>IFERROR(B5/(B5+B6),0)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24.0"/>
    <col customWidth="1" min="4" max="4" width="14.0"/>
    <col customWidth="1" min="5" max="5" width="22.0"/>
    <col customWidth="1" min="6" max="26" width="8.71"/>
  </cols>
  <sheetData>
    <row r="1">
      <c r="A1" s="1" t="s">
        <v>3</v>
      </c>
    </row>
    <row r="3" ht="30.0" customHeight="1">
      <c r="A3" s="4" t="s">
        <v>6</v>
      </c>
      <c r="B3" s="4" t="s">
        <v>9</v>
      </c>
      <c r="C3" s="4" t="s">
        <v>11</v>
      </c>
      <c r="D3" s="4" t="s">
        <v>14</v>
      </c>
      <c r="E3" s="4" t="s">
        <v>17</v>
      </c>
    </row>
    <row r="4" ht="18.0" customHeight="1">
      <c r="A4" s="7" t="s">
        <v>23</v>
      </c>
      <c r="B4" s="7" t="s">
        <v>29</v>
      </c>
      <c r="C4" s="7" t="s">
        <v>31</v>
      </c>
      <c r="D4" s="7" t="s">
        <v>33</v>
      </c>
      <c r="E4" s="7" t="s">
        <v>31</v>
      </c>
    </row>
    <row r="5" ht="18.0" customHeight="1">
      <c r="A5" s="7" t="s">
        <v>23</v>
      </c>
      <c r="B5" s="7" t="s">
        <v>37</v>
      </c>
      <c r="C5" s="7" t="s">
        <v>38</v>
      </c>
      <c r="D5" s="7" t="s">
        <v>39</v>
      </c>
      <c r="E5" s="7" t="s">
        <v>38</v>
      </c>
    </row>
    <row r="6" ht="18.0" customHeight="1">
      <c r="A6" s="7" t="s">
        <v>23</v>
      </c>
      <c r="B6" s="7" t="s">
        <v>40</v>
      </c>
      <c r="C6" s="7" t="s">
        <v>31</v>
      </c>
      <c r="D6" s="7" t="s">
        <v>41</v>
      </c>
      <c r="E6" s="7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14.0"/>
    <col customWidth="1" min="5" max="5" width="18.0"/>
    <col customWidth="1" min="6" max="6" width="14.0"/>
    <col customWidth="1" min="7" max="7" width="18.0"/>
    <col customWidth="1" min="8" max="26" width="8.71"/>
  </cols>
  <sheetData>
    <row r="1">
      <c r="A1" s="1" t="s">
        <v>2</v>
      </c>
    </row>
    <row r="3" ht="30.0" customHeight="1">
      <c r="A3" s="4" t="s">
        <v>6</v>
      </c>
      <c r="B3" s="4" t="s">
        <v>19</v>
      </c>
      <c r="C3" s="4" t="s">
        <v>20</v>
      </c>
      <c r="D3" s="4" t="s">
        <v>22</v>
      </c>
      <c r="E3" s="4" t="s">
        <v>24</v>
      </c>
      <c r="F3" s="4" t="s">
        <v>26</v>
      </c>
      <c r="G3" s="4" t="s">
        <v>27</v>
      </c>
    </row>
    <row r="4" ht="18.0" customHeight="1">
      <c r="A4" s="7" t="s">
        <v>23</v>
      </c>
      <c r="B4" s="7">
        <v>18.0</v>
      </c>
      <c r="C4" s="7">
        <v>19.0</v>
      </c>
      <c r="D4" s="7">
        <v>30.0</v>
      </c>
      <c r="E4" s="7">
        <v>59.0</v>
      </c>
      <c r="F4" s="7">
        <v>60.0</v>
      </c>
      <c r="G4" s="7">
        <v>61.0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6.0"/>
    <col customWidth="1" min="4" max="4" width="18.0"/>
    <col customWidth="1" min="5" max="5" width="26.0"/>
    <col customWidth="1" min="6" max="6" width="12.0"/>
    <col customWidth="1" min="7" max="26" width="8.71"/>
  </cols>
  <sheetData>
    <row r="1">
      <c r="A1" s="1" t="s">
        <v>83</v>
      </c>
    </row>
    <row r="3" ht="30.0" customHeight="1">
      <c r="A3" s="4" t="s">
        <v>6</v>
      </c>
      <c r="B3" s="4" t="s">
        <v>84</v>
      </c>
      <c r="C3" s="4" t="s">
        <v>85</v>
      </c>
      <c r="D3" s="4" t="s">
        <v>17</v>
      </c>
      <c r="E3" s="4" t="s">
        <v>86</v>
      </c>
      <c r="F3" s="4" t="s">
        <v>87</v>
      </c>
    </row>
    <row r="4" ht="18.0" customHeight="1">
      <c r="A4" s="7" t="s">
        <v>23</v>
      </c>
      <c r="B4" s="7" t="s">
        <v>88</v>
      </c>
      <c r="C4" s="7">
        <v>17.0</v>
      </c>
      <c r="D4" s="7" t="s">
        <v>31</v>
      </c>
      <c r="E4" s="7"/>
      <c r="F4" s="7"/>
    </row>
    <row r="5" ht="18.0" customHeight="1">
      <c r="A5" s="7" t="s">
        <v>23</v>
      </c>
      <c r="B5" s="7" t="s">
        <v>89</v>
      </c>
      <c r="C5" s="7">
        <v>18.0</v>
      </c>
      <c r="D5" s="7" t="s">
        <v>38</v>
      </c>
      <c r="E5" s="7"/>
      <c r="F5" s="7"/>
    </row>
    <row r="6" ht="18.0" customHeight="1">
      <c r="A6" s="7" t="s">
        <v>23</v>
      </c>
      <c r="B6" s="7" t="s">
        <v>90</v>
      </c>
      <c r="C6" s="7">
        <v>19.0</v>
      </c>
      <c r="D6" s="7" t="s">
        <v>38</v>
      </c>
      <c r="E6" s="7"/>
      <c r="F6" s="7"/>
    </row>
    <row r="7" ht="18.0" customHeight="1">
      <c r="A7" s="7" t="s">
        <v>23</v>
      </c>
      <c r="B7" s="7" t="s">
        <v>91</v>
      </c>
      <c r="C7" s="7">
        <v>59.0</v>
      </c>
      <c r="D7" s="7" t="s">
        <v>38</v>
      </c>
      <c r="E7" s="7"/>
      <c r="F7" s="7"/>
    </row>
    <row r="8" ht="18.0" customHeight="1">
      <c r="A8" s="7" t="s">
        <v>23</v>
      </c>
      <c r="B8" s="7" t="s">
        <v>92</v>
      </c>
      <c r="C8" s="7">
        <v>60.0</v>
      </c>
      <c r="D8" s="7" t="s">
        <v>38</v>
      </c>
      <c r="E8" s="7"/>
      <c r="F8" s="7"/>
    </row>
    <row r="9" ht="18.0" customHeight="1">
      <c r="A9" s="7" t="s">
        <v>23</v>
      </c>
      <c r="B9" s="7" t="s">
        <v>93</v>
      </c>
      <c r="C9" s="7">
        <v>61.0</v>
      </c>
      <c r="D9" s="7" t="s">
        <v>31</v>
      </c>
      <c r="E9" s="7"/>
      <c r="F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