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Module Analysis" sheetId="3" r:id="rId6"/>
    <sheet state="visible" name="Automation Candidates" sheetId="4" r:id="rId7"/>
    <sheet state="visible" name="Feasibility" sheetId="5" r:id="rId8"/>
    <sheet state="visible" name="Regression Summary" sheetId="6" r:id="rId9"/>
    <sheet state="visible" name="Regression Result" sheetId="7" r:id="rId10"/>
  </sheets>
  <definedNames/>
  <calcPr/>
  <extLst>
    <ext uri="GoogleSheetsCustomDataVersion2">
      <go:sheetsCustomData xmlns:go="http://customooxmlschemas.google.com/" r:id="rId11" roundtripDataChecksum="2zK3gRf+Sz1ZRFJtAs/ztyqxu6oXur0AH8hFgzfTFdk="/>
    </ext>
  </extLst>
</workbook>
</file>

<file path=xl/sharedStrings.xml><?xml version="1.0" encoding="utf-8"?>
<sst xmlns="http://schemas.openxmlformats.org/spreadsheetml/2006/main" count="194" uniqueCount="113">
  <si>
    <t>Test Execution Summary</t>
  </si>
  <si>
    <t>Tutorial 10 - Automation &amp; Regression Testing  |  Website: SauceDemo  (https://www.saucedemo.com)</t>
  </si>
  <si>
    <t>Automation Candidate Identification</t>
  </si>
  <si>
    <t>Tester: Kothari Mann Jitendrakumar  |   Enrollment No: 2504030100433</t>
  </si>
  <si>
    <t>Metric</t>
  </si>
  <si>
    <t>Test Case ID</t>
  </si>
  <si>
    <t>TC ID</t>
  </si>
  <si>
    <t>Functionality</t>
  </si>
  <si>
    <t>Value</t>
  </si>
  <si>
    <t>Module Analysis Table</t>
  </si>
  <si>
    <t>Automation Recommended (Yes/No)</t>
  </si>
  <si>
    <t>Test Scenario</t>
  </si>
  <si>
    <t>Total Test Cases</t>
  </si>
  <si>
    <t>Reason</t>
  </si>
  <si>
    <t>Test Case</t>
  </si>
  <si>
    <t>Automation Tool</t>
  </si>
  <si>
    <t>Preconditions</t>
  </si>
  <si>
    <t>Module Name</t>
  </si>
  <si>
    <t>Test Steps</t>
  </si>
  <si>
    <t>Test Data</t>
  </si>
  <si>
    <t>REG01</t>
  </si>
  <si>
    <t>Expected Result</t>
  </si>
  <si>
    <t>Critical (Yes/No)</t>
  </si>
  <si>
    <t>Status (after execution)</t>
  </si>
  <si>
    <t>Frequently Changed (Yes/No)</t>
  </si>
  <si>
    <t>Login</t>
  </si>
  <si>
    <t>Yes</t>
  </si>
  <si>
    <t>Frequently executed</t>
  </si>
  <si>
    <t>Selenium</t>
  </si>
  <si>
    <t>REG02</t>
  </si>
  <si>
    <t>Regression</t>
  </si>
  <si>
    <t>Product display</t>
  </si>
  <si>
    <t>Repeatable</t>
  </si>
  <si>
    <t>Suitable for Automation (Yes/No)</t>
  </si>
  <si>
    <t>Verify login (regression)</t>
  </si>
  <si>
    <t>User has the login page open (or is logged in as required)</t>
  </si>
  <si>
    <t>1. Open https://www.saucedemo.com
2. Enter standard_user / secret_sauce
3. Click Login</t>
  </si>
  <si>
    <t>REG03</t>
  </si>
  <si>
    <t>Add to cart</t>
  </si>
  <si>
    <t>standard_user / secret_sauce</t>
  </si>
  <si>
    <t>Products page opens</t>
  </si>
  <si>
    <t>Stable</t>
  </si>
  <si>
    <t>User authentication</t>
  </si>
  <si>
    <t>REG05</t>
  </si>
  <si>
    <t>No</t>
  </si>
  <si>
    <t>Checkout</t>
  </si>
  <si>
    <t>Executed repeatedly and stable</t>
  </si>
  <si>
    <t>Critical flow</t>
  </si>
  <si>
    <t>Product list</t>
  </si>
  <si>
    <t>REG06</t>
  </si>
  <si>
    <t>Logout</t>
  </si>
  <si>
    <t>Simple repetitive task</t>
  </si>
  <si>
    <t>Repeatable checks</t>
  </si>
  <si>
    <t>Cart</t>
  </si>
  <si>
    <t>UI-01</t>
  </si>
  <si>
    <t>Add / remove items</t>
  </si>
  <si>
    <t>Visual layout review</t>
  </si>
  <si>
    <t>Needs human judgement</t>
  </si>
  <si>
    <t>Repeated in every cycle</t>
  </si>
  <si>
    <t>Manual Testing</t>
  </si>
  <si>
    <t>Customer info and order</t>
  </si>
  <si>
    <t>Stable multi-step flow</t>
  </si>
  <si>
    <t>Pass</t>
  </si>
  <si>
    <t>Sign out</t>
  </si>
  <si>
    <t>Visual layout</t>
  </si>
  <si>
    <t>Look and feel</t>
  </si>
  <si>
    <t>Verify product display (regression)</t>
  </si>
  <si>
    <t>1. Observe the product list</t>
  </si>
  <si>
    <t>6 products</t>
  </si>
  <si>
    <t>Six products are displayed with image, name and price</t>
  </si>
  <si>
    <t>Verify add to cart (regression)</t>
  </si>
  <si>
    <t>1. Click 'Add to cart' on Sauce Labs Backpack</t>
  </si>
  <si>
    <t>Sauce Labs Backpack</t>
  </si>
  <si>
    <t>Cart badge shows 1</t>
  </si>
  <si>
    <t>Passed</t>
  </si>
  <si>
    <t>REG04</t>
  </si>
  <si>
    <t>Verify remove from cart (regression)</t>
  </si>
  <si>
    <t>1. Click 'Remove' on Sauce Labs Backpack</t>
  </si>
  <si>
    <t>Cart badge disappears</t>
  </si>
  <si>
    <t>Verify checkout (regression)</t>
  </si>
  <si>
    <t>1. Add Backpack
2. Open cart &gt; Checkout
3. Enter Test / User / 380001
4. Continue &gt; Finish</t>
  </si>
  <si>
    <t>Test / User / 380001</t>
  </si>
  <si>
    <t>'Thank you for your order!' is displayed</t>
  </si>
  <si>
    <t>Failed</t>
  </si>
  <si>
    <t>Verify logout (regression)</t>
  </si>
  <si>
    <t>1. Open the menu
2. Click Logout</t>
  </si>
  <si>
    <t>-</t>
  </si>
  <si>
    <t>Login page is displayed</t>
  </si>
  <si>
    <t>Blocked</t>
  </si>
  <si>
    <t>Not Executed</t>
  </si>
  <si>
    <t>Pass %</t>
  </si>
  <si>
    <t>Automation Feasibility Report</t>
  </si>
  <si>
    <t>Criteria</t>
  </si>
  <si>
    <t>Observation</t>
  </si>
  <si>
    <t>Repetitive Test Cases</t>
  </si>
  <si>
    <t>Stable Functionality</t>
  </si>
  <si>
    <t>High Business Priority</t>
  </si>
  <si>
    <t>Frequently Executed</t>
  </si>
  <si>
    <t>Suitable Automation Tool</t>
  </si>
  <si>
    <t>Selenium (Python)</t>
  </si>
  <si>
    <t>Recommendation</t>
  </si>
  <si>
    <t>Automate login, product display, cart, checkout and logout; keep visual checks manual</t>
  </si>
  <si>
    <t>Regression Testing Summary</t>
  </si>
  <si>
    <t>Total Modules Analyzed</t>
  </si>
  <si>
    <t>Regression Testing Result</t>
  </si>
  <si>
    <t>Previous Result (Tutorial 5)</t>
  </si>
  <si>
    <t>Current Result</t>
  </si>
  <si>
    <t>Status</t>
  </si>
  <si>
    <t>Automation Candidates</t>
  </si>
  <si>
    <t>Previous = your Tutorial 5 result for the same function; Current (yellow) = what you observe now. Status is a formula.</t>
  </si>
  <si>
    <t>Regression Test Cases</t>
  </si>
  <si>
    <t>Modules Excluded</t>
  </si>
  <si>
    <t>Automate stable and repetitive modules; continue manual testing for frequently changing modules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</si>
</sst>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top" wrapText="1"/>
    </xf>
    <xf borderId="1" fillId="0" fontId="5" numFmtId="164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1</v>
      </c>
    </row>
    <row r="2">
      <c r="A2" s="3" t="s">
        <v>3</v>
      </c>
    </row>
    <row r="3">
      <c r="A3" s="4"/>
    </row>
    <row r="4" ht="30.0" customHeight="1">
      <c r="A4" s="5" t="s">
        <v>6</v>
      </c>
      <c r="B4" s="5" t="s">
        <v>11</v>
      </c>
      <c r="C4" s="5" t="s">
        <v>14</v>
      </c>
      <c r="D4" s="5" t="s">
        <v>16</v>
      </c>
      <c r="E4" s="5" t="s">
        <v>18</v>
      </c>
      <c r="F4" s="5" t="s">
        <v>19</v>
      </c>
      <c r="G4" s="5" t="s">
        <v>21</v>
      </c>
      <c r="H4" s="5" t="s">
        <v>23</v>
      </c>
    </row>
    <row r="5" ht="44.25" customHeight="1">
      <c r="A5" s="8" t="s">
        <v>20</v>
      </c>
      <c r="B5" s="7" t="s">
        <v>30</v>
      </c>
      <c r="C5" s="7" t="s">
        <v>34</v>
      </c>
      <c r="D5" s="7" t="s">
        <v>35</v>
      </c>
      <c r="E5" s="7" t="s">
        <v>36</v>
      </c>
      <c r="F5" s="7" t="s">
        <v>39</v>
      </c>
      <c r="G5" s="7" t="s">
        <v>40</v>
      </c>
      <c r="H5" s="9" t="s">
        <v>62</v>
      </c>
    </row>
    <row r="6" ht="30.75" customHeight="1">
      <c r="A6" s="8" t="s">
        <v>29</v>
      </c>
      <c r="B6" s="7" t="s">
        <v>30</v>
      </c>
      <c r="C6" s="7" t="s">
        <v>66</v>
      </c>
      <c r="D6" s="7" t="s">
        <v>35</v>
      </c>
      <c r="E6" s="7" t="s">
        <v>67</v>
      </c>
      <c r="F6" s="7" t="s">
        <v>68</v>
      </c>
      <c r="G6" s="7" t="s">
        <v>69</v>
      </c>
      <c r="H6" s="9" t="s">
        <v>62</v>
      </c>
    </row>
    <row r="7" ht="30.75" customHeight="1">
      <c r="A7" s="8" t="s">
        <v>37</v>
      </c>
      <c r="B7" s="7" t="s">
        <v>30</v>
      </c>
      <c r="C7" s="7" t="s">
        <v>70</v>
      </c>
      <c r="D7" s="7" t="s">
        <v>35</v>
      </c>
      <c r="E7" s="7" t="s">
        <v>71</v>
      </c>
      <c r="F7" s="7" t="s">
        <v>72</v>
      </c>
      <c r="G7" s="7" t="s">
        <v>73</v>
      </c>
      <c r="H7" s="9" t="s">
        <v>62</v>
      </c>
    </row>
    <row r="8" ht="30.75" customHeight="1">
      <c r="A8" s="8" t="s">
        <v>75</v>
      </c>
      <c r="B8" s="7" t="s">
        <v>30</v>
      </c>
      <c r="C8" s="7" t="s">
        <v>76</v>
      </c>
      <c r="D8" s="7" t="s">
        <v>35</v>
      </c>
      <c r="E8" s="7" t="s">
        <v>77</v>
      </c>
      <c r="F8" s="7" t="s">
        <v>72</v>
      </c>
      <c r="G8" s="7" t="s">
        <v>78</v>
      </c>
      <c r="H8" s="9" t="s">
        <v>62</v>
      </c>
    </row>
    <row r="9" ht="57.75" customHeight="1">
      <c r="A9" s="8" t="s">
        <v>43</v>
      </c>
      <c r="B9" s="7" t="s">
        <v>30</v>
      </c>
      <c r="C9" s="7" t="s">
        <v>79</v>
      </c>
      <c r="D9" s="7" t="s">
        <v>35</v>
      </c>
      <c r="E9" s="7" t="s">
        <v>80</v>
      </c>
      <c r="F9" s="7" t="s">
        <v>81</v>
      </c>
      <c r="G9" s="7" t="s">
        <v>82</v>
      </c>
      <c r="H9" s="9" t="s">
        <v>62</v>
      </c>
    </row>
    <row r="10" ht="30.75" customHeight="1">
      <c r="A10" s="8" t="s">
        <v>49</v>
      </c>
      <c r="B10" s="7" t="s">
        <v>30</v>
      </c>
      <c r="C10" s="7" t="s">
        <v>84</v>
      </c>
      <c r="D10" s="7" t="s">
        <v>35</v>
      </c>
      <c r="E10" s="7" t="s">
        <v>85</v>
      </c>
      <c r="F10" s="7" t="s">
        <v>86</v>
      </c>
      <c r="G10" s="7" t="s">
        <v>87</v>
      </c>
      <c r="H10" s="9" t="s">
        <v>62</v>
      </c>
    </row>
    <row r="12" ht="48.0" customHeight="1">
      <c r="A1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H12"/>
  </mergeCells>
  <conditionalFormatting sqref="H5:H10">
    <cfRule type="cellIs" dxfId="0" priority="1" operator="equal">
      <formula>"Pass"</formula>
    </cfRule>
  </conditionalFormatting>
  <conditionalFormatting sqref="H5:H10">
    <cfRule type="cellIs" dxfId="1" priority="2" operator="equal">
      <formula>"Fail"</formula>
    </cfRule>
  </conditionalFormatting>
  <dataValidations>
    <dataValidation type="list" allowBlank="1" sqref="H5:H10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2" t="s">
        <v>0</v>
      </c>
    </row>
    <row r="3" ht="30.0" customHeight="1">
      <c r="A3" s="5" t="s">
        <v>4</v>
      </c>
      <c r="B3" s="5" t="s">
        <v>8</v>
      </c>
    </row>
    <row r="4">
      <c r="A4" s="6" t="s">
        <v>12</v>
      </c>
      <c r="B4" s="10">
        <f>COUNTA('Test Cases'!$A$5:$A$10)</f>
        <v>6</v>
      </c>
    </row>
    <row r="5">
      <c r="A5" s="6" t="s">
        <v>74</v>
      </c>
      <c r="B5" s="10">
        <f>COUNTIF('Test Cases'!$H$5:$H$10,"Pass")</f>
        <v>6</v>
      </c>
    </row>
    <row r="6">
      <c r="A6" s="6" t="s">
        <v>83</v>
      </c>
      <c r="B6" s="10">
        <f>COUNTIF('Test Cases'!$H$5:$H$10,"Fail")</f>
        <v>0</v>
      </c>
    </row>
    <row r="7">
      <c r="A7" s="6" t="s">
        <v>88</v>
      </c>
      <c r="B7" s="10">
        <f>COUNTIF('Test Cases'!$H$5:$H$10,"Blocked")</f>
        <v>0</v>
      </c>
    </row>
    <row r="8">
      <c r="A8" s="6" t="s">
        <v>89</v>
      </c>
      <c r="B8" s="10">
        <f>B4-B5-B6-B7</f>
        <v>0</v>
      </c>
    </row>
    <row r="9">
      <c r="A9" s="6" t="s">
        <v>90</v>
      </c>
      <c r="B9" s="12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14.0"/>
    <col customWidth="1" min="4" max="4" width="18.0"/>
    <col customWidth="1" min="5" max="5" width="20.0"/>
    <col customWidth="1" min="6" max="6" width="40.0"/>
    <col customWidth="1" min="7" max="26" width="8.71"/>
  </cols>
  <sheetData>
    <row r="1">
      <c r="A1" s="2" t="s">
        <v>9</v>
      </c>
    </row>
    <row r="3" ht="30.0" customHeight="1">
      <c r="A3" s="5" t="s">
        <v>17</v>
      </c>
      <c r="B3" s="5" t="s">
        <v>7</v>
      </c>
      <c r="C3" s="5" t="s">
        <v>22</v>
      </c>
      <c r="D3" s="5" t="s">
        <v>24</v>
      </c>
      <c r="E3" s="5" t="s">
        <v>33</v>
      </c>
      <c r="F3" s="5" t="s">
        <v>13</v>
      </c>
    </row>
    <row r="4" ht="18.0" customHeight="1">
      <c r="A4" s="7" t="s">
        <v>25</v>
      </c>
      <c r="B4" s="7" t="s">
        <v>42</v>
      </c>
      <c r="C4" s="7" t="s">
        <v>26</v>
      </c>
      <c r="D4" s="7" t="s">
        <v>44</v>
      </c>
      <c r="E4" s="7" t="s">
        <v>26</v>
      </c>
      <c r="F4" s="7" t="s">
        <v>46</v>
      </c>
    </row>
    <row r="5" ht="18.0" customHeight="1">
      <c r="A5" s="7" t="s">
        <v>31</v>
      </c>
      <c r="B5" s="7" t="s">
        <v>48</v>
      </c>
      <c r="C5" s="7" t="s">
        <v>26</v>
      </c>
      <c r="D5" s="7" t="s">
        <v>44</v>
      </c>
      <c r="E5" s="7" t="s">
        <v>26</v>
      </c>
      <c r="F5" s="7" t="s">
        <v>52</v>
      </c>
    </row>
    <row r="6" ht="18.0" customHeight="1">
      <c r="A6" s="7" t="s">
        <v>53</v>
      </c>
      <c r="B6" s="7" t="s">
        <v>55</v>
      </c>
      <c r="C6" s="7" t="s">
        <v>26</v>
      </c>
      <c r="D6" s="7" t="s">
        <v>44</v>
      </c>
      <c r="E6" s="7" t="s">
        <v>26</v>
      </c>
      <c r="F6" s="7" t="s">
        <v>58</v>
      </c>
    </row>
    <row r="7" ht="18.0" customHeight="1">
      <c r="A7" s="7" t="s">
        <v>45</v>
      </c>
      <c r="B7" s="7" t="s">
        <v>60</v>
      </c>
      <c r="C7" s="7" t="s">
        <v>26</v>
      </c>
      <c r="D7" s="7" t="s">
        <v>44</v>
      </c>
      <c r="E7" s="7" t="s">
        <v>26</v>
      </c>
      <c r="F7" s="7" t="s">
        <v>61</v>
      </c>
    </row>
    <row r="8" ht="18.0" customHeight="1">
      <c r="A8" s="7" t="s">
        <v>50</v>
      </c>
      <c r="B8" s="7" t="s">
        <v>63</v>
      </c>
      <c r="C8" s="7" t="s">
        <v>44</v>
      </c>
      <c r="D8" s="7" t="s">
        <v>44</v>
      </c>
      <c r="E8" s="7" t="s">
        <v>26</v>
      </c>
      <c r="F8" s="7" t="s">
        <v>51</v>
      </c>
    </row>
    <row r="9" ht="18.0" customHeight="1">
      <c r="A9" s="7" t="s">
        <v>64</v>
      </c>
      <c r="B9" s="7" t="s">
        <v>65</v>
      </c>
      <c r="C9" s="7" t="s">
        <v>44</v>
      </c>
      <c r="D9" s="7" t="s">
        <v>26</v>
      </c>
      <c r="E9" s="7" t="s">
        <v>44</v>
      </c>
      <c r="F9" s="7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24.0"/>
    <col customWidth="1" min="4" max="4" width="34.0"/>
    <col customWidth="1" min="5" max="5" width="24.0"/>
    <col customWidth="1" min="6" max="26" width="8.71"/>
  </cols>
  <sheetData>
    <row r="1">
      <c r="A1" s="2" t="s">
        <v>2</v>
      </c>
    </row>
    <row r="3" ht="30.0" customHeight="1">
      <c r="A3" s="5" t="s">
        <v>5</v>
      </c>
      <c r="B3" s="5" t="s">
        <v>7</v>
      </c>
      <c r="C3" s="5" t="s">
        <v>10</v>
      </c>
      <c r="D3" s="5" t="s">
        <v>13</v>
      </c>
      <c r="E3" s="5" t="s">
        <v>15</v>
      </c>
    </row>
    <row r="4" ht="18.0" customHeight="1">
      <c r="A4" s="7" t="s">
        <v>20</v>
      </c>
      <c r="B4" s="7" t="s">
        <v>25</v>
      </c>
      <c r="C4" s="7" t="s">
        <v>26</v>
      </c>
      <c r="D4" s="7" t="s">
        <v>27</v>
      </c>
      <c r="E4" s="7" t="s">
        <v>28</v>
      </c>
    </row>
    <row r="5" ht="18.0" customHeight="1">
      <c r="A5" s="7" t="s">
        <v>29</v>
      </c>
      <c r="B5" s="7" t="s">
        <v>31</v>
      </c>
      <c r="C5" s="7" t="s">
        <v>26</v>
      </c>
      <c r="D5" s="7" t="s">
        <v>32</v>
      </c>
      <c r="E5" s="7" t="s">
        <v>28</v>
      </c>
    </row>
    <row r="6" ht="18.0" customHeight="1">
      <c r="A6" s="7" t="s">
        <v>37</v>
      </c>
      <c r="B6" s="7" t="s">
        <v>38</v>
      </c>
      <c r="C6" s="7" t="s">
        <v>26</v>
      </c>
      <c r="D6" s="7" t="s">
        <v>41</v>
      </c>
      <c r="E6" s="7" t="s">
        <v>28</v>
      </c>
    </row>
    <row r="7" ht="18.0" customHeight="1">
      <c r="A7" s="7" t="s">
        <v>43</v>
      </c>
      <c r="B7" s="7" t="s">
        <v>45</v>
      </c>
      <c r="C7" s="7" t="s">
        <v>26</v>
      </c>
      <c r="D7" s="7" t="s">
        <v>47</v>
      </c>
      <c r="E7" s="7" t="s">
        <v>28</v>
      </c>
    </row>
    <row r="8" ht="18.0" customHeight="1">
      <c r="A8" s="7" t="s">
        <v>49</v>
      </c>
      <c r="B8" s="7" t="s">
        <v>50</v>
      </c>
      <c r="C8" s="7" t="s">
        <v>26</v>
      </c>
      <c r="D8" s="7" t="s">
        <v>51</v>
      </c>
      <c r="E8" s="7" t="s">
        <v>28</v>
      </c>
    </row>
    <row r="9" ht="18.0" customHeight="1">
      <c r="A9" s="7" t="s">
        <v>54</v>
      </c>
      <c r="B9" s="7" t="s">
        <v>56</v>
      </c>
      <c r="C9" s="7" t="s">
        <v>44</v>
      </c>
      <c r="D9" s="7" t="s">
        <v>57</v>
      </c>
      <c r="E9" s="7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80.0"/>
    <col customWidth="1" min="3" max="26" width="8.71"/>
  </cols>
  <sheetData>
    <row r="1">
      <c r="A1" s="2" t="s">
        <v>91</v>
      </c>
    </row>
    <row r="3" ht="30.0" customHeight="1">
      <c r="A3" s="5" t="s">
        <v>92</v>
      </c>
      <c r="B3" s="5" t="s">
        <v>93</v>
      </c>
    </row>
    <row r="4" ht="18.0" customHeight="1">
      <c r="A4" s="7" t="s">
        <v>94</v>
      </c>
      <c r="B4" s="7" t="s">
        <v>26</v>
      </c>
    </row>
    <row r="5" ht="18.0" customHeight="1">
      <c r="A5" s="7" t="s">
        <v>95</v>
      </c>
      <c r="B5" s="7" t="s">
        <v>26</v>
      </c>
    </row>
    <row r="6" ht="18.0" customHeight="1">
      <c r="A6" s="7" t="s">
        <v>96</v>
      </c>
      <c r="B6" s="7" t="s">
        <v>26</v>
      </c>
    </row>
    <row r="7" ht="18.0" customHeight="1">
      <c r="A7" s="7" t="s">
        <v>97</v>
      </c>
      <c r="B7" s="7" t="s">
        <v>26</v>
      </c>
    </row>
    <row r="8" ht="18.0" customHeight="1">
      <c r="A8" s="7" t="s">
        <v>98</v>
      </c>
      <c r="B8" s="7" t="s">
        <v>99</v>
      </c>
    </row>
    <row r="9" ht="30.75" customHeight="1">
      <c r="A9" s="7" t="s">
        <v>100</v>
      </c>
      <c r="B9" s="7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>
      <c r="A1" s="2" t="s">
        <v>102</v>
      </c>
    </row>
    <row r="3" ht="30.0" customHeight="1">
      <c r="A3" s="5" t="s">
        <v>4</v>
      </c>
      <c r="B3" s="5" t="s">
        <v>8</v>
      </c>
    </row>
    <row r="4" ht="18.0" customHeight="1">
      <c r="A4" s="7" t="s">
        <v>103</v>
      </c>
      <c r="B4" s="7">
        <f>COUNTA('Module Analysis'!A4:A9)</f>
        <v>6</v>
      </c>
    </row>
    <row r="5" ht="18.0" customHeight="1">
      <c r="A5" s="7" t="s">
        <v>108</v>
      </c>
      <c r="B5" s="7">
        <f>COUNTIF('Module Analysis'!E4:E9,"Yes")</f>
        <v>5</v>
      </c>
    </row>
    <row r="6" ht="18.0" customHeight="1">
      <c r="A6" s="7" t="s">
        <v>110</v>
      </c>
      <c r="B6" s="7">
        <f>COUNTA('Test Cases'!A5:A10)</f>
        <v>6</v>
      </c>
    </row>
    <row r="7" ht="18.0" customHeight="1">
      <c r="A7" s="7" t="s">
        <v>111</v>
      </c>
      <c r="B7" s="7">
        <f>COUNTIF('Module Analysis'!E4:E9,"No")</f>
        <v>1</v>
      </c>
    </row>
    <row r="8" ht="30.75" customHeight="1">
      <c r="A8" s="7" t="s">
        <v>100</v>
      </c>
      <c r="B8" s="7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8.0"/>
    <col customWidth="1" min="3" max="3" width="18.0"/>
    <col customWidth="1" min="4" max="4" width="14.0"/>
    <col customWidth="1" min="5" max="26" width="8.71"/>
  </cols>
  <sheetData>
    <row r="1">
      <c r="A1" s="2" t="s">
        <v>104</v>
      </c>
    </row>
    <row r="3" ht="30.0" customHeight="1">
      <c r="A3" s="5" t="s">
        <v>6</v>
      </c>
      <c r="B3" s="5" t="s">
        <v>105</v>
      </c>
      <c r="C3" s="5" t="s">
        <v>106</v>
      </c>
      <c r="D3" s="5" t="s">
        <v>107</v>
      </c>
    </row>
    <row r="4">
      <c r="A4" s="8" t="s">
        <v>20</v>
      </c>
      <c r="B4" s="8" t="s">
        <v>62</v>
      </c>
      <c r="C4" s="9" t="s">
        <v>62</v>
      </c>
      <c r="D4" s="8" t="str">
        <f t="shared" ref="D4:D9" si="1">IF(C4="","",IF(B4=C4,"Pass","Fail"))</f>
        <v>Pass</v>
      </c>
    </row>
    <row r="5">
      <c r="A5" s="8" t="s">
        <v>29</v>
      </c>
      <c r="B5" s="8" t="s">
        <v>62</v>
      </c>
      <c r="C5" s="9" t="s">
        <v>62</v>
      </c>
      <c r="D5" s="8" t="str">
        <f t="shared" si="1"/>
        <v>Pass</v>
      </c>
    </row>
    <row r="6">
      <c r="A6" s="8" t="s">
        <v>37</v>
      </c>
      <c r="B6" s="8" t="s">
        <v>62</v>
      </c>
      <c r="C6" s="9" t="s">
        <v>62</v>
      </c>
      <c r="D6" s="8" t="str">
        <f t="shared" si="1"/>
        <v>Pass</v>
      </c>
    </row>
    <row r="7">
      <c r="A7" s="8" t="s">
        <v>75</v>
      </c>
      <c r="B7" s="8" t="s">
        <v>62</v>
      </c>
      <c r="C7" s="9" t="s">
        <v>62</v>
      </c>
      <c r="D7" s="8" t="str">
        <f t="shared" si="1"/>
        <v>Pass</v>
      </c>
    </row>
    <row r="8">
      <c r="A8" s="8" t="s">
        <v>43</v>
      </c>
      <c r="B8" s="8" t="s">
        <v>62</v>
      </c>
      <c r="C8" s="9" t="s">
        <v>62</v>
      </c>
      <c r="D8" s="8" t="str">
        <f t="shared" si="1"/>
        <v>Pass</v>
      </c>
    </row>
    <row r="9">
      <c r="A9" s="8" t="s">
        <v>49</v>
      </c>
      <c r="B9" s="8" t="s">
        <v>62</v>
      </c>
      <c r="C9" s="9" t="s">
        <v>62</v>
      </c>
      <c r="D9" s="8" t="str">
        <f t="shared" si="1"/>
        <v>Pass</v>
      </c>
    </row>
    <row r="11">
      <c r="A11" s="13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